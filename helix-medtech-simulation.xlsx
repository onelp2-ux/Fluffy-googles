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lcome" sheetId="1" state="visible" r:id="rId1"/>
    <sheet name="Reference" sheetId="2" state="visible" r:id="rId2"/>
    <sheet name="Round 1" sheetId="3" state="visible" r:id="rId3"/>
    <sheet name="Round 2" sheetId="4" state="visible" r:id="rId4"/>
    <sheet name="Round 3" sheetId="5" state="visible" r:id="rId5"/>
    <sheet name="Engine" sheetId="6" state="visible" r:id="rId6"/>
    <sheet name="Results" sheetId="7" state="visible" r:id="rId7"/>
    <sheet name="Teams Dashboard"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quot;x&quot;"/>
  </numFmts>
  <fonts count="11">
    <font>
      <name val="Calibri"/>
      <family val="2"/>
      <color theme="1"/>
      <sz val="11"/>
      <scheme val="minor"/>
    </font>
    <font>
      <name val="Calibri"/>
      <b val="1"/>
      <color rgb="00FFFFFF"/>
      <sz val="18"/>
    </font>
    <font>
      <name val="Calibri"/>
      <color rgb="00FFFFFF"/>
      <sz val="11"/>
    </font>
    <font>
      <b val="1"/>
      <color rgb="000B2545"/>
      <sz val="12"/>
    </font>
    <font>
      <color rgb="0022303C"/>
      <sz val="10"/>
    </font>
    <font>
      <name val="Calibri"/>
      <b val="1"/>
      <color rgb="00FFFFFF"/>
      <sz val="11"/>
    </font>
    <font>
      <name val="Calibri"/>
      <color rgb="0022303C"/>
      <sz val="11"/>
    </font>
    <font>
      <i val="1"/>
      <color rgb="0022303C"/>
      <sz val="10"/>
    </font>
    <font>
      <name val="Calibri"/>
      <b val="1"/>
      <color rgb="000B2545"/>
      <sz val="11"/>
    </font>
    <font>
      <b val="1"/>
      <color rgb="000B2545"/>
    </font>
    <font>
      <name val="Calibri"/>
      <i val="1"/>
      <color rgb="005B6B7B"/>
      <sz val="9"/>
    </font>
  </fonts>
  <fills count="7">
    <fill>
      <patternFill/>
    </fill>
    <fill>
      <patternFill patternType="gray125"/>
    </fill>
    <fill>
      <patternFill patternType="solid">
        <fgColor rgb="000B2545"/>
      </patternFill>
    </fill>
    <fill>
      <patternFill patternType="solid">
        <fgColor rgb="00E8EEF4"/>
      </patternFill>
    </fill>
    <fill>
      <patternFill patternType="solid">
        <fgColor rgb="00F4F7FB"/>
      </patternFill>
    </fill>
    <fill>
      <patternFill patternType="solid">
        <fgColor rgb="000E7C86"/>
      </patternFill>
    </fill>
    <fill>
      <patternFill patternType="solid">
        <fgColor rgb="00C9A227"/>
      </patternFill>
    </fill>
  </fills>
  <borders count="2">
    <border>
      <left/>
      <right/>
      <top/>
      <bottom/>
      <diagonal/>
    </border>
    <border>
      <left style="thin">
        <color rgb="00C7D2DD"/>
      </left>
      <right style="thin">
        <color rgb="00C7D2DD"/>
      </right>
      <top style="thin">
        <color rgb="00C7D2DD"/>
      </top>
      <bottom style="thin">
        <color rgb="00C7D2DD"/>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2" borderId="0" applyAlignment="1" pivotButton="0" quotePrefix="0" xfId="0">
      <alignment horizontal="left" vertical="center" wrapText="1"/>
    </xf>
    <xf numFmtId="0" fontId="3" fillId="3" borderId="0" applyAlignment="1" pivotButton="0" quotePrefix="0" xfId="0">
      <alignment horizontal="left" vertical="center" wrapText="1"/>
    </xf>
    <xf numFmtId="0" fontId="0" fillId="3" borderId="0" pivotButton="0" quotePrefix="0" xfId="0"/>
    <xf numFmtId="0" fontId="4" fillId="0" borderId="0" applyAlignment="1" pivotButton="0" quotePrefix="0" xfId="0">
      <alignment horizontal="left" vertical="center" wrapText="1"/>
    </xf>
    <xf numFmtId="0" fontId="5" fillId="2"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0" applyAlignment="1" pivotButton="0" quotePrefix="0" xfId="0">
      <alignment horizontal="left" vertical="center" wrapText="1"/>
    </xf>
    <xf numFmtId="0" fontId="5"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9" fillId="6" borderId="1" applyAlignment="1" pivotButton="0" quotePrefix="0" xfId="0">
      <alignment horizontal="center" vertical="center" wrapText="1"/>
    </xf>
    <xf numFmtId="0" fontId="8" fillId="3" borderId="1" pivotButton="0" quotePrefix="0" xfId="0"/>
    <xf numFmtId="0" fontId="0" fillId="3" borderId="1" pivotButton="0" quotePrefix="0" xfId="0"/>
    <xf numFmtId="0" fontId="8" fillId="3" borderId="1" applyAlignment="1" pivotButton="0" quotePrefix="0" xfId="0">
      <alignment horizontal="center" vertical="center" wrapText="1"/>
    </xf>
    <xf numFmtId="3" fontId="0" fillId="4" borderId="1" applyAlignment="1" pivotButton="0" quotePrefix="0" xfId="0">
      <alignment horizontal="right" vertical="center"/>
    </xf>
    <xf numFmtId="3" fontId="0" fillId="0" borderId="1" applyAlignment="1" pivotButton="0" quotePrefix="0" xfId="0">
      <alignment horizontal="right" vertical="center"/>
    </xf>
    <xf numFmtId="164" fontId="0" fillId="0" borderId="1" applyAlignment="1" pivotButton="0" quotePrefix="0" xfId="0">
      <alignment horizontal="right" vertical="center"/>
    </xf>
    <xf numFmtId="165" fontId="0" fillId="4" borderId="1" applyAlignment="1" pivotButton="0" quotePrefix="0" xfId="0">
      <alignment horizontal="right" vertical="center"/>
    </xf>
    <xf numFmtId="164" fontId="0" fillId="4" borderId="1" applyAlignment="1" pivotButton="0" quotePrefix="0" xfId="0">
      <alignment horizontal="right" vertical="center"/>
    </xf>
    <xf numFmtId="165" fontId="0" fillId="0" borderId="1" applyAlignment="1" pivotButton="0" quotePrefix="0" xfId="0">
      <alignment horizontal="right" vertical="center"/>
    </xf>
    <xf numFmtId="166" fontId="0" fillId="0" borderId="1" applyAlignment="1" pivotButton="0" quotePrefix="0" xfId="0">
      <alignment horizontal="right" vertical="center"/>
    </xf>
    <xf numFmtId="166" fontId="0" fillId="4" borderId="1" applyAlignment="1" pivotButton="0" quotePrefix="0" xfId="0">
      <alignment horizontal="right" vertical="center"/>
    </xf>
    <xf numFmtId="0" fontId="8" fillId="6" borderId="1" applyAlignment="1" pivotButton="0" quotePrefix="0" xfId="0">
      <alignment horizontal="left" vertical="center" wrapText="1"/>
    </xf>
    <xf numFmtId="3" fontId="9" fillId="3" borderId="1" applyAlignment="1" pivotButton="0" quotePrefix="0" xfId="0">
      <alignment horizontal="right" vertical="center"/>
    </xf>
    <xf numFmtId="165" fontId="9" fillId="3" borderId="1" applyAlignment="1" pivotButton="0" quotePrefix="0" xfId="0">
      <alignment horizontal="right" vertical="center"/>
    </xf>
    <xf numFmtId="0" fontId="10" fillId="0" borderId="0" applyAlignment="1" pivotButton="0" quotePrefix="0" xfId="0">
      <alignment horizontal="left" vertical="center" wrapText="1"/>
    </xf>
    <xf numFmtId="0" fontId="0" fillId="0" borderId="1" applyAlignment="1" pivotButton="0" quotePrefix="0" xfId="0">
      <alignment horizontal="center" vertical="center" wrapText="1"/>
    </xf>
    <xf numFmtId="3"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3" fontId="0" fillId="4" borderId="1" applyAlignment="1" pivotButton="0" quotePrefix="0" xfId="0">
      <alignment horizontal="center" vertical="center" wrapText="1"/>
    </xf>
    <xf numFmtId="165" fontId="0"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Enterprise Value ($M)</a:t>
            </a:r>
          </a:p>
        </rich>
      </tx>
    </title>
    <plotArea>
      <lineChart>
        <grouping val="standard"/>
        <ser>
          <idx val="0"/>
          <order val="0"/>
          <spPr>
            <a:ln>
              <a:prstDash val="solid"/>
            </a:ln>
          </spPr>
          <marker>
            <symbol val="none"/>
            <spPr>
              <a:ln>
                <a:prstDash val="solid"/>
              </a:ln>
            </spPr>
          </marker>
          <cat>
            <numRef>
              <f>'Engine'!$B$2:$E$2</f>
            </numRef>
          </cat>
          <val>
            <numRef>
              <f>'Engine'!$B$18:$E$18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Revenue mix ($M)</a:t>
            </a:r>
          </a:p>
        </rich>
      </tx>
    </title>
    <plotArea>
      <barChart>
        <barDir val="col"/>
        <grouping val="stacked"/>
        <ser>
          <idx val="0"/>
          <order val="0"/>
          <spPr>
            <a:ln>
              <a:prstDash val="solid"/>
            </a:ln>
          </spPr>
          <cat>
            <numRef>
              <f>'Engine'!$B$2:$E$2</f>
            </numRef>
          </cat>
          <val>
            <numRef>
              <f>'Engine'!$B$3:$E$3</f>
            </numRef>
          </val>
        </ser>
        <ser>
          <idx val="1"/>
          <order val="1"/>
          <spPr>
            <a:ln>
              <a:prstDash val="solid"/>
            </a:ln>
          </spPr>
          <cat>
            <numRef>
              <f>'Engine'!$B$2:$E$2</f>
            </numRef>
          </cat>
          <val>
            <numRef>
              <f>'Engine'!$B$4:$E$4</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EBITDA ($M) &amp; EV multiple (x)</a:t>
            </a:r>
          </a:p>
        </rich>
      </tx>
    </title>
    <plotArea>
      <lineChart>
        <grouping val="standard"/>
        <ser>
          <idx val="0"/>
          <order val="0"/>
          <spPr>
            <a:ln>
              <a:prstDash val="solid"/>
            </a:ln>
          </spPr>
          <marker>
            <symbol val="none"/>
            <spPr>
              <a:ln>
                <a:prstDash val="solid"/>
              </a:ln>
            </spPr>
          </marker>
          <cat>
            <numRef>
              <f>'Engine'!$B$2:$E$2</f>
            </numRef>
          </cat>
          <val>
            <numRef>
              <f>'Engine'!$B$10:$E$10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Risk index (lower is better)</a:t>
            </a:r>
          </a:p>
        </rich>
      </tx>
    </title>
    <plotArea>
      <lineChart>
        <grouping val="standard"/>
        <ser>
          <idx val="0"/>
          <order val="0"/>
          <spPr>
            <a:ln>
              <a:prstDash val="solid"/>
            </a:ln>
          </spPr>
          <marker>
            <symbol val="none"/>
            <spPr>
              <a:ln>
                <a:prstDash val="solid"/>
              </a:ln>
            </spPr>
          </marker>
          <cat>
            <numRef>
              <f>'Engine'!$B$2:$E$2</f>
            </numRef>
          </cat>
          <val>
            <numRef>
              <f>'Engine'!$B$14:$E$14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19</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2</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19</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H24"/>
  <sheetViews>
    <sheetView showGridLines="0" workbookViewId="0">
      <selection activeCell="A1" sqref="A1"/>
    </sheetView>
  </sheetViews>
  <sheetFormatPr baseColWidth="8" defaultRowHeight="15"/>
  <cols>
    <col width="2"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2" ht="34" customHeight="1">
      <c r="B2" s="1" t="inlineStr">
        <is>
          <t>HELIX MEDTECH  —  STRATEGY SIMULATION</t>
        </is>
      </c>
      <c r="C2" s="2" t="n"/>
      <c r="D2" s="2" t="n"/>
      <c r="E2" s="2" t="n"/>
      <c r="F2" s="2" t="n"/>
      <c r="G2" s="2" t="n"/>
      <c r="H2" s="2" t="n"/>
    </row>
    <row r="3" ht="20" customHeight="1">
      <c r="B3" s="3" t="inlineStr">
        <is>
          <t>Medical devices (the core to exploit) + a digital-health SaaS platform (the growth engine) — three rounds.</t>
        </is>
      </c>
      <c r="C3" s="2" t="n"/>
      <c r="D3" s="2" t="n"/>
      <c r="E3" s="2" t="n"/>
      <c r="F3" s="2" t="n"/>
      <c r="G3" s="2" t="n"/>
      <c r="H3" s="2" t="n"/>
    </row>
    <row r="5">
      <c r="B5" s="4" t="inlineStr">
        <is>
          <t>The brief</t>
        </is>
      </c>
      <c r="C5" s="5" t="n"/>
      <c r="D5" s="5" t="n"/>
      <c r="E5" s="5" t="n"/>
      <c r="F5" s="5" t="n"/>
      <c r="G5" s="5" t="n"/>
      <c r="H5" s="5" t="n"/>
    </row>
    <row r="6" ht="28" customHeight="1">
      <c r="B6" s="6" t="inlineStr">
        <is>
          <t>You are the executive team of Helix MedTech. Your mature medical-devices business throws off cash but is under attack from AI diagnostics and connected-device entrants. Your digital-health SaaS platform is small but growing fast and is what investors reward. Across three rounds you make seven strategic decisions each round. The model converts them into financial results and enterprise value (EV).</t>
        </is>
      </c>
    </row>
    <row r="8">
      <c r="B8" s="4" t="inlineStr">
        <is>
          <t>How to play</t>
        </is>
      </c>
      <c r="C8" s="5" t="n"/>
      <c r="D8" s="5" t="n"/>
      <c r="E8" s="5" t="n"/>
      <c r="F8" s="5" t="n"/>
      <c r="G8" s="5" t="n"/>
      <c r="H8" s="5" t="n"/>
    </row>
    <row r="9" ht="28" customHeight="1">
      <c r="B9" s="6" t="inlineStr">
        <is>
          <t>1.  Open each 'Round' tab. For all seven decision areas, pick ONE option from the dropdown in the yellow 'Your Choice' cell.</t>
        </is>
      </c>
    </row>
    <row r="10" ht="28" customHeight="1">
      <c r="B10" s="6" t="inlineStr">
        <is>
          <t>2.  Watch the 'Engine' and 'Results' tabs update live — revenue, EBITDA, cash, risk and enterprise value.</t>
        </is>
      </c>
    </row>
    <row r="11" ht="28" customHeight="1">
      <c r="B11" s="6" t="inlineStr">
        <is>
          <t>3.  Play Round 1, then Round 2, then Round 3. Each round opens from the prior round's closing position.</t>
        </is>
      </c>
    </row>
    <row r="12" ht="28" customHeight="1">
      <c r="B12" s="6" t="inlineStr">
        <is>
          <t>4.  Compare teams on the 'Teams Dashboard'. Highest enterprise value at the end of Round 3 wins.</t>
        </is>
      </c>
    </row>
    <row r="14">
      <c r="B14" s="4" t="inlineStr">
        <is>
          <t>How you are scored</t>
        </is>
      </c>
      <c r="C14" s="5" t="n"/>
      <c r="D14" s="5" t="n"/>
      <c r="E14" s="5" t="n"/>
      <c r="F14" s="5" t="n"/>
      <c r="G14" s="5" t="n"/>
      <c r="H14" s="5" t="n"/>
    </row>
    <row r="15" ht="28" customHeight="1">
      <c r="B15" s="6" t="inlineStr">
        <is>
          <t>Enterprise Value = EBITDA × EV multiple.  The multiple rises with recurring (SaaS) revenue mix and growth, and falls with operating risk. So short-term cuts can flatter EBITDA but shrink the multiple. Score = EV indexed to the starting EV (Start = 100), with a penalty if you run cash negative.</t>
        </is>
      </c>
    </row>
    <row r="17">
      <c r="B17" s="4" t="inlineStr">
        <is>
          <t>The seven decision areas</t>
        </is>
      </c>
      <c r="C17" s="5" t="n"/>
      <c r="D17" s="5" t="n"/>
      <c r="E17" s="5" t="n"/>
      <c r="F17" s="5" t="n"/>
      <c r="G17" s="5" t="n"/>
      <c r="H17" s="5" t="n"/>
    </row>
    <row r="18" ht="28" customHeight="1">
      <c r="B18" s="6" t="inlineStr">
        <is>
          <t>•  Managing the Core (Exploit)  —  How hard you run, defend and modernise the mature medical-devices business.</t>
        </is>
      </c>
    </row>
    <row r="19" ht="28" customHeight="1">
      <c r="B19" s="6" t="inlineStr">
        <is>
          <t>•  Explore Portfolio  —  Investment in the digital-health SaaS platform and new growth ventures.</t>
        </is>
      </c>
    </row>
    <row r="20" ht="28" customHeight="1">
      <c r="B20" s="6" t="inlineStr">
        <is>
          <t>•  Managing Disruption  —  Response to AI diagnostics and connected-device entrants attacking the core.</t>
        </is>
      </c>
    </row>
    <row r="21" ht="28" customHeight="1">
      <c r="B21" s="6" t="inlineStr">
        <is>
          <t>•  Supply Chain  —  Trading off landed cost against resilience for devices and components.</t>
        </is>
      </c>
    </row>
    <row r="22" ht="28" customHeight="1">
      <c r="B22" s="6" t="inlineStr">
        <is>
          <t>•  Revenue &amp; Commercial Model  —  Pricing and business model — from one-off device sales to recurring outcomes.</t>
        </is>
      </c>
    </row>
    <row r="23" ht="28" customHeight="1">
      <c r="B23" s="6" t="inlineStr">
        <is>
          <t>•  People &amp; Talent  —  Workforce strategy — the execution engine behind every other choice.</t>
        </is>
      </c>
    </row>
    <row r="24" ht="28" customHeight="1">
      <c r="B24" s="6" t="inlineStr">
        <is>
          <t>•  Corporate Functions  —  Overhead and the digital backbone (finance, IT, shared services).</t>
        </is>
      </c>
    </row>
  </sheetData>
  <mergeCells count="19">
    <mergeCell ref="B9:H9"/>
    <mergeCell ref="B6:H6"/>
    <mergeCell ref="B24:H24"/>
    <mergeCell ref="B15:H15"/>
    <mergeCell ref="B5:H5"/>
    <mergeCell ref="B20:H20"/>
    <mergeCell ref="B3:H3"/>
    <mergeCell ref="B22:H22"/>
    <mergeCell ref="B18:H18"/>
    <mergeCell ref="B21:H21"/>
    <mergeCell ref="B12:H12"/>
    <mergeCell ref="B2:H2"/>
    <mergeCell ref="B11:H11"/>
    <mergeCell ref="B23:H23"/>
    <mergeCell ref="B8:H8"/>
    <mergeCell ref="B14:H14"/>
    <mergeCell ref="B17:H17"/>
    <mergeCell ref="B10:H10"/>
    <mergeCell ref="B19:H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1" customWidth="1" min="1" max="1"/>
    <col width="30" customWidth="1" min="2" max="2"/>
    <col width="30" customWidth="1" min="3" max="3"/>
    <col width="10" customWidth="1" min="4" max="4"/>
    <col width="9" customWidth="1" min="5" max="5"/>
    <col width="11" customWidth="1" min="6" max="6"/>
    <col width="10" customWidth="1" min="7" max="7"/>
    <col width="9" customWidth="1" min="8" max="8"/>
    <col width="7" customWidth="1" min="9" max="9"/>
    <col width="7" customWidth="1" min="10" max="10"/>
    <col width="9" customWidth="1" min="11" max="11"/>
    <col width="52" customWidth="1" min="12" max="12"/>
  </cols>
  <sheetData>
    <row r="1">
      <c r="A1" s="7" t="inlineStr">
        <is>
          <t>Key</t>
        </is>
      </c>
      <c r="B1" s="7" t="inlineStr">
        <is>
          <t>Area</t>
        </is>
      </c>
      <c r="C1" s="7" t="inlineStr">
        <is>
          <t>Option</t>
        </is>
      </c>
      <c r="D1" s="7" t="inlineStr">
        <is>
          <t>Spend $M</t>
        </is>
      </c>
      <c r="E1" s="7" t="inlineStr">
        <is>
          <t>Core g%</t>
        </is>
      </c>
      <c r="F1" s="7" t="inlineStr">
        <is>
          <t>Explore g%</t>
        </is>
      </c>
      <c r="G1" s="7" t="inlineStr">
        <is>
          <t>Margin pp</t>
        </is>
      </c>
      <c r="H1" s="7" t="inlineStr">
        <is>
          <t>Opex $M</t>
        </is>
      </c>
      <c r="I1" s="7" t="inlineStr">
        <is>
          <t>Risk</t>
        </is>
      </c>
      <c r="J1" s="7" t="inlineStr">
        <is>
          <t>Mult</t>
        </is>
      </c>
      <c r="K1" s="7" t="inlineStr">
        <is>
          <t>Recur pp</t>
        </is>
      </c>
      <c r="L1" s="7" t="inlineStr">
        <is>
          <t>Description</t>
        </is>
      </c>
    </row>
    <row r="2">
      <c r="A2" s="8" t="inlineStr">
        <is>
          <t>Managing the Core (Exploit)|Harvest &amp; cut</t>
        </is>
      </c>
      <c r="B2" s="9" t="inlineStr">
        <is>
          <t>Managing the Core (Exploit)</t>
        </is>
      </c>
      <c r="C2" s="9" t="inlineStr">
        <is>
          <t>Harvest &amp; cut</t>
        </is>
      </c>
      <c r="D2" s="8" t="n">
        <v>0</v>
      </c>
      <c r="E2" s="8" t="n">
        <v>-3</v>
      </c>
      <c r="F2" s="8" t="n">
        <v>0</v>
      </c>
      <c r="G2" s="8" t="n">
        <v>1.5</v>
      </c>
      <c r="H2" s="8" t="n">
        <v>-40</v>
      </c>
      <c r="I2" s="8" t="n">
        <v>5</v>
      </c>
      <c r="J2" s="8" t="n">
        <v>-0.5</v>
      </c>
      <c r="K2" s="8" t="n">
        <v>0</v>
      </c>
      <c r="L2" s="9" t="inlineStr">
        <is>
          <t>Maximise short-term cash from devices; minimal reinvestment.</t>
        </is>
      </c>
    </row>
    <row r="3">
      <c r="A3" s="10" t="inlineStr">
        <is>
          <t>Managing the Core (Exploit)|Maintain</t>
        </is>
      </c>
      <c r="B3" s="11" t="inlineStr">
        <is>
          <t>Managing the Core (Exploit)</t>
        </is>
      </c>
      <c r="C3" s="11" t="inlineStr">
        <is>
          <t>Maintain</t>
        </is>
      </c>
      <c r="D3" s="10" t="n">
        <v>20</v>
      </c>
      <c r="E3" s="10" t="n">
        <v>0</v>
      </c>
      <c r="F3" s="10" t="n">
        <v>0</v>
      </c>
      <c r="G3" s="10" t="n">
        <v>0</v>
      </c>
      <c r="H3" s="10" t="n">
        <v>0</v>
      </c>
      <c r="I3" s="10" t="n">
        <v>0</v>
      </c>
      <c r="J3" s="10" t="n">
        <v>0</v>
      </c>
      <c r="K3" s="10" t="n">
        <v>0</v>
      </c>
      <c r="L3" s="11" t="inlineStr">
        <is>
          <t>Keep the core running as-is; protect share without big bets.</t>
        </is>
      </c>
    </row>
    <row r="4">
      <c r="A4" s="8" t="inlineStr">
        <is>
          <t>Managing the Core (Exploit)|Optimise &amp; defend</t>
        </is>
      </c>
      <c r="B4" s="9" t="inlineStr">
        <is>
          <t>Managing the Core (Exploit)</t>
        </is>
      </c>
      <c r="C4" s="9" t="inlineStr">
        <is>
          <t>Optimise &amp; defend</t>
        </is>
      </c>
      <c r="D4" s="8" t="n">
        <v>60</v>
      </c>
      <c r="E4" s="8" t="n">
        <v>2</v>
      </c>
      <c r="F4" s="8" t="n">
        <v>0</v>
      </c>
      <c r="G4" s="8" t="n">
        <v>2</v>
      </c>
      <c r="H4" s="8" t="n">
        <v>-10</v>
      </c>
      <c r="I4" s="8" t="n">
        <v>-3</v>
      </c>
      <c r="J4" s="8" t="n">
        <v>0.3</v>
      </c>
      <c r="K4" s="8" t="n">
        <v>0</v>
      </c>
      <c r="L4" s="9" t="inlineStr">
        <is>
          <t>Lean + automation in plants; targeted upgrades to defend share.</t>
        </is>
      </c>
    </row>
    <row r="5">
      <c r="A5" s="10" t="inlineStr">
        <is>
          <t>Managing the Core (Exploit)|Invest to grow core</t>
        </is>
      </c>
      <c r="B5" s="11" t="inlineStr">
        <is>
          <t>Managing the Core (Exploit)</t>
        </is>
      </c>
      <c r="C5" s="11" t="inlineStr">
        <is>
          <t>Invest to grow core</t>
        </is>
      </c>
      <c r="D5" s="10" t="n">
        <v>120</v>
      </c>
      <c r="E5" s="10" t="n">
        <v>5</v>
      </c>
      <c r="F5" s="10" t="n">
        <v>0</v>
      </c>
      <c r="G5" s="10" t="n">
        <v>-0.5</v>
      </c>
      <c r="H5" s="10" t="n">
        <v>20</v>
      </c>
      <c r="I5" s="10" t="n">
        <v>3</v>
      </c>
      <c r="J5" s="10" t="n">
        <v>0.4</v>
      </c>
      <c r="K5" s="10" t="n">
        <v>0</v>
      </c>
      <c r="L5" s="11" t="inlineStr">
        <is>
          <t>New indications &amp; geographies for the device line.</t>
        </is>
      </c>
    </row>
    <row r="6">
      <c r="A6" s="8" t="inlineStr">
        <is>
          <t>Explore Portfolio|Pause exploration</t>
        </is>
      </c>
      <c r="B6" s="9" t="inlineStr">
        <is>
          <t>Explore Portfolio</t>
        </is>
      </c>
      <c r="C6" s="9" t="inlineStr">
        <is>
          <t>Pause exploration</t>
        </is>
      </c>
      <c r="D6" s="8" t="n">
        <v>0</v>
      </c>
      <c r="E6" s="8" t="n">
        <v>0</v>
      </c>
      <c r="F6" s="8" t="n">
        <v>-10</v>
      </c>
      <c r="G6" s="8" t="n">
        <v>0.5</v>
      </c>
      <c r="H6" s="8" t="n">
        <v>0</v>
      </c>
      <c r="I6" s="8" t="n">
        <v>4</v>
      </c>
      <c r="J6" s="8" t="n">
        <v>-1</v>
      </c>
      <c r="K6" s="8" t="n">
        <v>0</v>
      </c>
      <c r="L6" s="9" t="inlineStr">
        <is>
          <t>Freeze venture spend; bank the savings, accept slower SaaS.</t>
        </is>
      </c>
    </row>
    <row r="7">
      <c r="A7" s="10" t="inlineStr">
        <is>
          <t>Explore Portfolio|Selective bets</t>
        </is>
      </c>
      <c r="B7" s="11" t="inlineStr">
        <is>
          <t>Explore Portfolio</t>
        </is>
      </c>
      <c r="C7" s="11" t="inlineStr">
        <is>
          <t>Selective bets</t>
        </is>
      </c>
      <c r="D7" s="10" t="n">
        <v>50</v>
      </c>
      <c r="E7" s="10" t="n">
        <v>0</v>
      </c>
      <c r="F7" s="10" t="n">
        <v>10</v>
      </c>
      <c r="G7" s="10" t="n">
        <v>0</v>
      </c>
      <c r="H7" s="10" t="n">
        <v>10</v>
      </c>
      <c r="I7" s="10" t="n">
        <v>0</v>
      </c>
      <c r="J7" s="10" t="n">
        <v>0.5</v>
      </c>
      <c r="K7" s="10" t="n">
        <v>2</v>
      </c>
      <c r="L7" s="11" t="inlineStr">
        <is>
          <t>Fund the 1-2 strongest digital-health products only.</t>
        </is>
      </c>
    </row>
    <row r="8">
      <c r="A8" s="8" t="inlineStr">
        <is>
          <t>Explore Portfolio|Balanced portfolio</t>
        </is>
      </c>
      <c r="B8" s="9" t="inlineStr">
        <is>
          <t>Explore Portfolio</t>
        </is>
      </c>
      <c r="C8" s="9" t="inlineStr">
        <is>
          <t>Balanced portfolio</t>
        </is>
      </c>
      <c r="D8" s="8" t="n">
        <v>110</v>
      </c>
      <c r="E8" s="8" t="n">
        <v>0</v>
      </c>
      <c r="F8" s="8" t="n">
        <v>25</v>
      </c>
      <c r="G8" s="8" t="n">
        <v>-0.5</v>
      </c>
      <c r="H8" s="8" t="n">
        <v>20</v>
      </c>
      <c r="I8" s="8" t="n">
        <v>2</v>
      </c>
      <c r="J8" s="8" t="n">
        <v>1.2</v>
      </c>
      <c r="K8" s="8" t="n">
        <v>3</v>
      </c>
      <c r="L8" s="9" t="inlineStr">
        <is>
          <t>A managed portfolio of SaaS bets across the pipeline.</t>
        </is>
      </c>
    </row>
    <row r="9">
      <c r="A9" s="10" t="inlineStr">
        <is>
          <t>Explore Portfolio|Aggressive venture build</t>
        </is>
      </c>
      <c r="B9" s="11" t="inlineStr">
        <is>
          <t>Explore Portfolio</t>
        </is>
      </c>
      <c r="C9" s="11" t="inlineStr">
        <is>
          <t>Aggressive venture build</t>
        </is>
      </c>
      <c r="D9" s="10" t="n">
        <v>200</v>
      </c>
      <c r="E9" s="10" t="n">
        <v>0</v>
      </c>
      <c r="F9" s="10" t="n">
        <v>45</v>
      </c>
      <c r="G9" s="10" t="n">
        <v>-1.5</v>
      </c>
      <c r="H9" s="10" t="n">
        <v>40</v>
      </c>
      <c r="I9" s="10" t="n">
        <v>6</v>
      </c>
      <c r="J9" s="10" t="n">
        <v>2</v>
      </c>
      <c r="K9" s="10" t="n">
        <v>5</v>
      </c>
      <c r="L9" s="11" t="inlineStr">
        <is>
          <t>Go big on the platform; chase category leadership in SaaS.</t>
        </is>
      </c>
    </row>
    <row r="10">
      <c r="A10" s="8" t="inlineStr">
        <is>
          <t>Managing Disruption|Wait &amp; see</t>
        </is>
      </c>
      <c r="B10" s="9" t="inlineStr">
        <is>
          <t>Managing Disruption</t>
        </is>
      </c>
      <c r="C10" s="9" t="inlineStr">
        <is>
          <t>Wait &amp; see</t>
        </is>
      </c>
      <c r="D10" s="8" t="n">
        <v>0</v>
      </c>
      <c r="E10" s="8" t="n">
        <v>-2</v>
      </c>
      <c r="F10" s="8" t="n">
        <v>0</v>
      </c>
      <c r="G10" s="8" t="n">
        <v>0</v>
      </c>
      <c r="H10" s="8" t="n">
        <v>0</v>
      </c>
      <c r="I10" s="8" t="n">
        <v>12</v>
      </c>
      <c r="J10" s="8" t="n">
        <v>-1</v>
      </c>
      <c r="K10" s="8" t="n">
        <v>0</v>
      </c>
      <c r="L10" s="9" t="inlineStr">
        <is>
          <t>Hold position; assume the threat is over-hyped.</t>
        </is>
      </c>
    </row>
    <row r="11">
      <c r="A11" s="10" t="inlineStr">
        <is>
          <t>Managing Disruption|Partner / license</t>
        </is>
      </c>
      <c r="B11" s="11" t="inlineStr">
        <is>
          <t>Managing Disruption</t>
        </is>
      </c>
      <c r="C11" s="11" t="inlineStr">
        <is>
          <t>Partner / license</t>
        </is>
      </c>
      <c r="D11" s="10" t="n">
        <v>40</v>
      </c>
      <c r="E11" s="10" t="n">
        <v>1</v>
      </c>
      <c r="F11" s="10" t="n">
        <v>0</v>
      </c>
      <c r="G11" s="10" t="n">
        <v>0</v>
      </c>
      <c r="H11" s="10" t="n">
        <v>0</v>
      </c>
      <c r="I11" s="10" t="n">
        <v>-4</v>
      </c>
      <c r="J11" s="10" t="n">
        <v>0.5</v>
      </c>
      <c r="K11" s="10" t="n">
        <v>2</v>
      </c>
      <c r="L11" s="11" t="inlineStr">
        <is>
          <t>License AI / connectivity from a fast mover; integrate quickly.</t>
        </is>
      </c>
    </row>
    <row r="12">
      <c r="A12" s="8" t="inlineStr">
        <is>
          <t>Managing Disruption|Acquire capability</t>
        </is>
      </c>
      <c r="B12" s="9" t="inlineStr">
        <is>
          <t>Managing Disruption</t>
        </is>
      </c>
      <c r="C12" s="9" t="inlineStr">
        <is>
          <t>Acquire capability</t>
        </is>
      </c>
      <c r="D12" s="8" t="n">
        <v>180</v>
      </c>
      <c r="E12" s="8" t="n">
        <v>3</v>
      </c>
      <c r="F12" s="8" t="n">
        <v>10</v>
      </c>
      <c r="G12" s="8" t="n">
        <v>0</v>
      </c>
      <c r="H12" s="8" t="n">
        <v>15</v>
      </c>
      <c r="I12" s="8" t="n">
        <v>-6</v>
      </c>
      <c r="J12" s="8" t="n">
        <v>1</v>
      </c>
      <c r="K12" s="8" t="n">
        <v>3</v>
      </c>
      <c r="L12" s="9" t="inlineStr">
        <is>
          <t>Buy a disruptor to own the new platform outright.</t>
        </is>
      </c>
    </row>
    <row r="13">
      <c r="A13" s="10" t="inlineStr">
        <is>
          <t>Managing Disruption|Build internal moonshot</t>
        </is>
      </c>
      <c r="B13" s="11" t="inlineStr">
        <is>
          <t>Managing Disruption</t>
        </is>
      </c>
      <c r="C13" s="11" t="inlineStr">
        <is>
          <t>Build internal moonshot</t>
        </is>
      </c>
      <c r="D13" s="10" t="n">
        <v>130</v>
      </c>
      <c r="E13" s="10" t="n">
        <v>0</v>
      </c>
      <c r="F13" s="10" t="n">
        <v>15</v>
      </c>
      <c r="G13" s="10" t="n">
        <v>-1</v>
      </c>
      <c r="H13" s="10" t="n">
        <v>0</v>
      </c>
      <c r="I13" s="10" t="n">
        <v>-2</v>
      </c>
      <c r="J13" s="10" t="n">
        <v>0.8</v>
      </c>
      <c r="K13" s="10" t="n">
        <v>2</v>
      </c>
      <c r="L13" s="11" t="inlineStr">
        <is>
          <t>Stand up a skunkworks to leapfrog the entrants.</t>
        </is>
      </c>
    </row>
    <row r="14">
      <c r="A14" s="8" t="inlineStr">
        <is>
          <t>Supply Chain|Lowest cost (single-source)</t>
        </is>
      </c>
      <c r="B14" s="9" t="inlineStr">
        <is>
          <t>Supply Chain</t>
        </is>
      </c>
      <c r="C14" s="9" t="inlineStr">
        <is>
          <t>Lowest cost (single-source)</t>
        </is>
      </c>
      <c r="D14" s="8" t="n">
        <v>0</v>
      </c>
      <c r="E14" s="8" t="n">
        <v>0</v>
      </c>
      <c r="F14" s="8" t="n">
        <v>0</v>
      </c>
      <c r="G14" s="8" t="n">
        <v>2</v>
      </c>
      <c r="H14" s="8" t="n">
        <v>0</v>
      </c>
      <c r="I14" s="8" t="n">
        <v>10</v>
      </c>
      <c r="J14" s="8" t="n">
        <v>-0.5</v>
      </c>
      <c r="K14" s="8" t="n">
        <v>0</v>
      </c>
      <c r="L14" s="9" t="inlineStr">
        <is>
          <t>Offshore, single-source for the best unit cost.</t>
        </is>
      </c>
    </row>
    <row r="15">
      <c r="A15" s="10" t="inlineStr">
        <is>
          <t>Supply Chain|Dual-source</t>
        </is>
      </c>
      <c r="B15" s="11" t="inlineStr">
        <is>
          <t>Supply Chain</t>
        </is>
      </c>
      <c r="C15" s="11" t="inlineStr">
        <is>
          <t>Dual-source</t>
        </is>
      </c>
      <c r="D15" s="10" t="n">
        <v>40</v>
      </c>
      <c r="E15" s="10" t="n">
        <v>0</v>
      </c>
      <c r="F15" s="10" t="n">
        <v>0</v>
      </c>
      <c r="G15" s="10" t="n">
        <v>0.5</v>
      </c>
      <c r="H15" s="10" t="n">
        <v>5</v>
      </c>
      <c r="I15" s="10" t="n">
        <v>-3</v>
      </c>
      <c r="J15" s="10" t="n">
        <v>0</v>
      </c>
      <c r="K15" s="10" t="n">
        <v>0</v>
      </c>
      <c r="L15" s="11" t="inlineStr">
        <is>
          <t>Second suppliers on critical parts to cut single points of failure.</t>
        </is>
      </c>
    </row>
    <row r="16">
      <c r="A16" s="8" t="inlineStr">
        <is>
          <t>Supply Chain|Regionalise / nearshore</t>
        </is>
      </c>
      <c r="B16" s="9" t="inlineStr">
        <is>
          <t>Supply Chain</t>
        </is>
      </c>
      <c r="C16" s="9" t="inlineStr">
        <is>
          <t>Regionalise / nearshore</t>
        </is>
      </c>
      <c r="D16" s="8" t="n">
        <v>90</v>
      </c>
      <c r="E16" s="8" t="n">
        <v>0</v>
      </c>
      <c r="F16" s="8" t="n">
        <v>0</v>
      </c>
      <c r="G16" s="8" t="n">
        <v>-0.5</v>
      </c>
      <c r="H16" s="8" t="n">
        <v>10</v>
      </c>
      <c r="I16" s="8" t="n">
        <v>-8</v>
      </c>
      <c r="J16" s="8" t="n">
        <v>0.3</v>
      </c>
      <c r="K16" s="8" t="n">
        <v>0</v>
      </c>
      <c r="L16" s="9" t="inlineStr">
        <is>
          <t>Nearshore key flows; shorten and de-risk the network.</t>
        </is>
      </c>
    </row>
    <row r="17">
      <c r="A17" s="10" t="inlineStr">
        <is>
          <t>Supply Chain|Vertical integration</t>
        </is>
      </c>
      <c r="B17" s="11" t="inlineStr">
        <is>
          <t>Supply Chain</t>
        </is>
      </c>
      <c r="C17" s="11" t="inlineStr">
        <is>
          <t>Vertical integration</t>
        </is>
      </c>
      <c r="D17" s="10" t="n">
        <v>160</v>
      </c>
      <c r="E17" s="10" t="n">
        <v>1</v>
      </c>
      <c r="F17" s="10" t="n">
        <v>0</v>
      </c>
      <c r="G17" s="10" t="n">
        <v>1.5</v>
      </c>
      <c r="H17" s="10" t="n">
        <v>-5</v>
      </c>
      <c r="I17" s="10" t="n">
        <v>-6</v>
      </c>
      <c r="J17" s="10" t="n">
        <v>0.4</v>
      </c>
      <c r="K17" s="10" t="n">
        <v>0</v>
      </c>
      <c r="L17" s="11" t="inlineStr">
        <is>
          <t>Automate &amp; bring critical manufacturing in-house.</t>
        </is>
      </c>
    </row>
    <row r="18">
      <c r="A18" s="8" t="inlineStr">
        <is>
          <t>Revenue &amp; Commercial Model|Discount for volume</t>
        </is>
      </c>
      <c r="B18" s="9" t="inlineStr">
        <is>
          <t>Revenue &amp; Commercial Model</t>
        </is>
      </c>
      <c r="C18" s="9" t="inlineStr">
        <is>
          <t>Discount for volume</t>
        </is>
      </c>
      <c r="D18" s="8" t="n">
        <v>10</v>
      </c>
      <c r="E18" s="8" t="n">
        <v>3</v>
      </c>
      <c r="F18" s="8" t="n">
        <v>0</v>
      </c>
      <c r="G18" s="8" t="n">
        <v>-2.5</v>
      </c>
      <c r="H18" s="8" t="n">
        <v>0</v>
      </c>
      <c r="I18" s="8" t="n">
        <v>0</v>
      </c>
      <c r="J18" s="8" t="n">
        <v>-0.3</v>
      </c>
      <c r="K18" s="8" t="n">
        <v>0</v>
      </c>
      <c r="L18" s="9" t="inlineStr">
        <is>
          <t>Cut price to win units and defend share.</t>
        </is>
      </c>
    </row>
    <row r="19">
      <c r="A19" s="10" t="inlineStr">
        <is>
          <t>Revenue &amp; Commercial Model|Hold premium pricing</t>
        </is>
      </c>
      <c r="B19" s="11" t="inlineStr">
        <is>
          <t>Revenue &amp; Commercial Model</t>
        </is>
      </c>
      <c r="C19" s="11" t="inlineStr">
        <is>
          <t>Hold premium pricing</t>
        </is>
      </c>
      <c r="D19" s="10" t="n">
        <v>10</v>
      </c>
      <c r="E19" s="10" t="n">
        <v>-1</v>
      </c>
      <c r="F19" s="10" t="n">
        <v>0</v>
      </c>
      <c r="G19" s="10" t="n">
        <v>2</v>
      </c>
      <c r="H19" s="10" t="n">
        <v>0</v>
      </c>
      <c r="I19" s="10" t="n">
        <v>0</v>
      </c>
      <c r="J19" s="10" t="n">
        <v>0.3</v>
      </c>
      <c r="K19" s="10" t="n">
        <v>0</v>
      </c>
      <c r="L19" s="11" t="inlineStr">
        <is>
          <t>Protect price and brand; accept slower volume.</t>
        </is>
      </c>
    </row>
    <row r="20">
      <c r="A20" s="8" t="inlineStr">
        <is>
          <t>Revenue &amp; Commercial Model|Value-based selling</t>
        </is>
      </c>
      <c r="B20" s="9" t="inlineStr">
        <is>
          <t>Revenue &amp; Commercial Model</t>
        </is>
      </c>
      <c r="C20" s="9" t="inlineStr">
        <is>
          <t>Value-based selling</t>
        </is>
      </c>
      <c r="D20" s="8" t="n">
        <v>50</v>
      </c>
      <c r="E20" s="8" t="n">
        <v>3</v>
      </c>
      <c r="F20" s="8" t="n">
        <v>0</v>
      </c>
      <c r="G20" s="8" t="n">
        <v>1</v>
      </c>
      <c r="H20" s="8" t="n">
        <v>15</v>
      </c>
      <c r="I20" s="8" t="n">
        <v>0</v>
      </c>
      <c r="J20" s="8" t="n">
        <v>0.5</v>
      </c>
      <c r="K20" s="8" t="n">
        <v>3</v>
      </c>
      <c r="L20" s="9" t="inlineStr">
        <is>
          <t>Sell on clinical &amp; economic outcomes to hospitals.</t>
        </is>
      </c>
    </row>
    <row r="21">
      <c r="A21" s="10" t="inlineStr">
        <is>
          <t>Revenue &amp; Commercial Model|Device-as-a-Service (recurring)</t>
        </is>
      </c>
      <c r="B21" s="11" t="inlineStr">
        <is>
          <t>Revenue &amp; Commercial Model</t>
        </is>
      </c>
      <c r="C21" s="11" t="inlineStr">
        <is>
          <t>Device-as-a-Service (recurring)</t>
        </is>
      </c>
      <c r="D21" s="10" t="n">
        <v>90</v>
      </c>
      <c r="E21" s="10" t="n">
        <v>2</v>
      </c>
      <c r="F21" s="10" t="n">
        <v>5</v>
      </c>
      <c r="G21" s="10" t="n">
        <v>-1</v>
      </c>
      <c r="H21" s="10" t="n">
        <v>20</v>
      </c>
      <c r="I21" s="10" t="n">
        <v>0</v>
      </c>
      <c r="J21" s="10" t="n">
        <v>1.5</v>
      </c>
      <c r="K21" s="10" t="n">
        <v>10</v>
      </c>
      <c r="L21" s="11" t="inlineStr">
        <is>
          <t>Bundle hardware + SaaS into subscriptions / outcomes contracts.</t>
        </is>
      </c>
    </row>
    <row r="22">
      <c r="A22" s="8" t="inlineStr">
        <is>
          <t>People &amp; Talent|Cost reduction / layoffs</t>
        </is>
      </c>
      <c r="B22" s="9" t="inlineStr">
        <is>
          <t>People &amp; Talent</t>
        </is>
      </c>
      <c r="C22" s="9" t="inlineStr">
        <is>
          <t>Cost reduction / layoffs</t>
        </is>
      </c>
      <c r="D22" s="8" t="n">
        <v>0</v>
      </c>
      <c r="E22" s="8" t="n">
        <v>-2</v>
      </c>
      <c r="F22" s="8" t="n">
        <v>-5</v>
      </c>
      <c r="G22" s="8" t="n">
        <v>1</v>
      </c>
      <c r="H22" s="8" t="n">
        <v>-60</v>
      </c>
      <c r="I22" s="8" t="n">
        <v>8</v>
      </c>
      <c r="J22" s="8" t="n">
        <v>-0.8</v>
      </c>
      <c r="K22" s="8" t="n">
        <v>0</v>
      </c>
      <c r="L22" s="9" t="inlineStr">
        <is>
          <t>Reduce headcount to protect near-term margin.</t>
        </is>
      </c>
    </row>
    <row r="23">
      <c r="A23" s="10" t="inlineStr">
        <is>
          <t>People &amp; Talent|Maintain</t>
        </is>
      </c>
      <c r="B23" s="11" t="inlineStr">
        <is>
          <t>People &amp; Talent</t>
        </is>
      </c>
      <c r="C23" s="11" t="inlineStr">
        <is>
          <t>Maintain</t>
        </is>
      </c>
      <c r="D23" s="10" t="n">
        <v>20</v>
      </c>
      <c r="E23" s="10" t="n">
        <v>0</v>
      </c>
      <c r="F23" s="10" t="n">
        <v>0</v>
      </c>
      <c r="G23" s="10" t="n">
        <v>0</v>
      </c>
      <c r="H23" s="10" t="n">
        <v>0</v>
      </c>
      <c r="I23" s="10" t="n">
        <v>0</v>
      </c>
      <c r="J23" s="10" t="n">
        <v>0</v>
      </c>
      <c r="K23" s="10" t="n">
        <v>0</v>
      </c>
      <c r="L23" s="11" t="inlineStr">
        <is>
          <t>Hold the workforce steady; no major change.</t>
        </is>
      </c>
    </row>
    <row r="24">
      <c r="A24" s="8" t="inlineStr">
        <is>
          <t>People &amp; Talent|Upskill &amp; reskill</t>
        </is>
      </c>
      <c r="B24" s="9" t="inlineStr">
        <is>
          <t>People &amp; Talent</t>
        </is>
      </c>
      <c r="C24" s="9" t="inlineStr">
        <is>
          <t>Upskill &amp; reskill</t>
        </is>
      </c>
      <c r="D24" s="8" t="n">
        <v>60</v>
      </c>
      <c r="E24" s="8" t="n">
        <v>1</v>
      </c>
      <c r="F24" s="8" t="n">
        <v>5</v>
      </c>
      <c r="G24" s="8" t="n">
        <v>1</v>
      </c>
      <c r="H24" s="8" t="n">
        <v>10</v>
      </c>
      <c r="I24" s="8" t="n">
        <v>-3</v>
      </c>
      <c r="J24" s="8" t="n">
        <v>0.5</v>
      </c>
      <c r="K24" s="8" t="n">
        <v>0</v>
      </c>
      <c r="L24" s="9" t="inlineStr">
        <is>
          <t>Reskill for software &amp; data; raise productivity.</t>
        </is>
      </c>
    </row>
    <row r="25">
      <c r="A25" s="10" t="inlineStr">
        <is>
          <t>People &amp; Talent|Transform culture &amp; talent</t>
        </is>
      </c>
      <c r="B25" s="11" t="inlineStr">
        <is>
          <t>People &amp; Talent</t>
        </is>
      </c>
      <c r="C25" s="11" t="inlineStr">
        <is>
          <t>Transform culture &amp; talent</t>
        </is>
      </c>
      <c r="D25" s="10" t="n">
        <v>110</v>
      </c>
      <c r="E25" s="10" t="n">
        <v>2</v>
      </c>
      <c r="F25" s="10" t="n">
        <v>10</v>
      </c>
      <c r="G25" s="10" t="n">
        <v>1.5</v>
      </c>
      <c r="H25" s="10" t="n">
        <v>30</v>
      </c>
      <c r="I25" s="10" t="n">
        <v>-5</v>
      </c>
      <c r="J25" s="10" t="n">
        <v>1</v>
      </c>
      <c r="K25" s="10" t="n">
        <v>0</v>
      </c>
      <c r="L25" s="11" t="inlineStr">
        <is>
          <t>Top-quartile talent + culture change for agility.</t>
        </is>
      </c>
    </row>
    <row r="26">
      <c r="A26" s="8" t="inlineStr">
        <is>
          <t>Corporate Functions|Slash overhead</t>
        </is>
      </c>
      <c r="B26" s="9" t="inlineStr">
        <is>
          <t>Corporate Functions</t>
        </is>
      </c>
      <c r="C26" s="9" t="inlineStr">
        <is>
          <t>Slash overhead</t>
        </is>
      </c>
      <c r="D26" s="8" t="n">
        <v>0</v>
      </c>
      <c r="E26" s="8" t="n">
        <v>0</v>
      </c>
      <c r="F26" s="8" t="n">
        <v>-3</v>
      </c>
      <c r="G26" s="8" t="n">
        <v>0</v>
      </c>
      <c r="H26" s="8" t="n">
        <v>-50</v>
      </c>
      <c r="I26" s="8" t="n">
        <v>6</v>
      </c>
      <c r="J26" s="8" t="n">
        <v>-0.4</v>
      </c>
      <c r="K26" s="8" t="n">
        <v>0</v>
      </c>
      <c r="L26" s="9" t="inlineStr">
        <is>
          <t>Aggressively cut corporate cost; accept fragility.</t>
        </is>
      </c>
    </row>
    <row r="27">
      <c r="A27" s="10" t="inlineStr">
        <is>
          <t>Corporate Functions|Maintain</t>
        </is>
      </c>
      <c r="B27" s="11" t="inlineStr">
        <is>
          <t>Corporate Functions</t>
        </is>
      </c>
      <c r="C27" s="11" t="inlineStr">
        <is>
          <t>Maintain</t>
        </is>
      </c>
      <c r="D27" s="10" t="n">
        <v>15</v>
      </c>
      <c r="E27" s="10" t="n">
        <v>0</v>
      </c>
      <c r="F27" s="10" t="n">
        <v>0</v>
      </c>
      <c r="G27" s="10" t="n">
        <v>0</v>
      </c>
      <c r="H27" s="10" t="n">
        <v>0</v>
      </c>
      <c r="I27" s="10" t="n">
        <v>0</v>
      </c>
      <c r="J27" s="10" t="n">
        <v>0</v>
      </c>
      <c r="K27" s="10" t="n">
        <v>0</v>
      </c>
      <c r="L27" s="11" t="inlineStr">
        <is>
          <t>Run functions as-is.</t>
        </is>
      </c>
    </row>
    <row r="28">
      <c r="A28" s="8" t="inlineStr">
        <is>
          <t>Corporate Functions|Selective digitisation</t>
        </is>
      </c>
      <c r="B28" s="9" t="inlineStr">
        <is>
          <t>Corporate Functions</t>
        </is>
      </c>
      <c r="C28" s="9" t="inlineStr">
        <is>
          <t>Selective digitisation</t>
        </is>
      </c>
      <c r="D28" s="8" t="n">
        <v>70</v>
      </c>
      <c r="E28" s="8" t="n">
        <v>0</v>
      </c>
      <c r="F28" s="8" t="n">
        <v>0</v>
      </c>
      <c r="G28" s="8" t="n">
        <v>0.5</v>
      </c>
      <c r="H28" s="8" t="n">
        <v>-20</v>
      </c>
      <c r="I28" s="8" t="n">
        <v>-2</v>
      </c>
      <c r="J28" s="8" t="n">
        <v>0.3</v>
      </c>
      <c r="K28" s="8" t="n">
        <v>0</v>
      </c>
      <c r="L28" s="9" t="inlineStr">
        <is>
          <t>Automate the highest-cost processes first.</t>
        </is>
      </c>
    </row>
    <row r="29">
      <c r="A29" s="10" t="inlineStr">
        <is>
          <t>Corporate Functions|Full digital core + shared services</t>
        </is>
      </c>
      <c r="B29" s="11" t="inlineStr">
        <is>
          <t>Corporate Functions</t>
        </is>
      </c>
      <c r="C29" s="11" t="inlineStr">
        <is>
          <t>Full digital core + shared services</t>
        </is>
      </c>
      <c r="D29" s="10" t="n">
        <v>140</v>
      </c>
      <c r="E29" s="10" t="n">
        <v>1</v>
      </c>
      <c r="F29" s="10" t="n">
        <v>0</v>
      </c>
      <c r="G29" s="10" t="n">
        <v>1</v>
      </c>
      <c r="H29" s="10" t="n">
        <v>-45</v>
      </c>
      <c r="I29" s="10" t="n">
        <v>-4</v>
      </c>
      <c r="J29" s="10" t="n">
        <v>0.6</v>
      </c>
      <c r="K29" s="10" t="n">
        <v>0</v>
      </c>
      <c r="L29" s="11" t="inlineStr">
        <is>
          <t>One digital backbone; shared services at scale.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showGridLines="0" workbookViewId="0">
      <pane ySplit="3" topLeftCell="A4" activePane="bottomLeft" state="frozen"/>
      <selection pane="bottomLeft" activeCell="A1" sqref="A1"/>
    </sheetView>
  </sheetViews>
  <sheetFormatPr baseColWidth="8" defaultRowHeight="15"/>
  <cols>
    <col width="30" customWidth="1" min="1" max="1"/>
    <col width="30" customWidth="1" min="2" max="2"/>
    <col hidden="1" width="13"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ht="32" customHeight="1">
      <c r="A1" s="1" t="inlineStr">
        <is>
          <t>ROUND 1  —  Pressure on the Core</t>
        </is>
      </c>
      <c r="B1" s="2" t="n"/>
      <c r="C1" s="2" t="n"/>
      <c r="D1" s="2" t="n"/>
      <c r="E1" s="2" t="n"/>
      <c r="F1" s="2" t="n"/>
      <c r="G1" s="2" t="n"/>
      <c r="H1" s="2" t="n"/>
      <c r="I1" s="2" t="n"/>
      <c r="J1" s="2" t="n"/>
      <c r="K1" s="2" t="n"/>
    </row>
    <row r="2" ht="44" customHeight="1">
      <c r="A2" s="12" t="inlineStr">
        <is>
          <t>Scenario:  Reimbursement cuts squeeze device margins and an AI-diagnostics start-up lands its first hospital contracts. The board wants a plan that protects the core while standing up the digital-health platform.</t>
        </is>
      </c>
    </row>
    <row r="3">
      <c r="A3" s="13" t="inlineStr">
        <is>
          <t>Decision Area</t>
        </is>
      </c>
      <c r="B3" s="13" t="inlineStr">
        <is>
          <t>Your Choice</t>
        </is>
      </c>
      <c r="C3" s="13" t="inlineStr">
        <is>
          <t>key</t>
        </is>
      </c>
      <c r="D3" s="13" t="inlineStr">
        <is>
          <t>Spend $M</t>
        </is>
      </c>
      <c r="E3" s="13" t="inlineStr">
        <is>
          <t>Core g%</t>
        </is>
      </c>
      <c r="F3" s="13" t="inlineStr">
        <is>
          <t>Explore g%</t>
        </is>
      </c>
      <c r="G3" s="13" t="inlineStr">
        <is>
          <t>Margin pp</t>
        </is>
      </c>
      <c r="H3" s="13" t="inlineStr">
        <is>
          <t>Opex $M</t>
        </is>
      </c>
      <c r="I3" s="13" t="inlineStr">
        <is>
          <t>Risk</t>
        </is>
      </c>
      <c r="J3" s="13" t="inlineStr">
        <is>
          <t>Mult</t>
        </is>
      </c>
      <c r="K3" s="13" t="inlineStr">
        <is>
          <t>Recur pp</t>
        </is>
      </c>
    </row>
    <row r="4">
      <c r="A4" s="14" t="inlineStr">
        <is>
          <t>Managing the Core (Exploit)</t>
        </is>
      </c>
      <c r="B4" s="15" t="inlineStr">
        <is>
          <t>Maintain</t>
        </is>
      </c>
      <c r="C4">
        <f>A4&amp;"|"&amp;B4</f>
        <v/>
      </c>
      <c r="D4" s="10">
        <f>IFERROR(VLOOKUP($C4,Reference!$A:$K,4,FALSE),0)</f>
        <v/>
      </c>
      <c r="E4" s="10">
        <f>IFERROR(VLOOKUP($C4,Reference!$A:$K,5,FALSE),0)</f>
        <v/>
      </c>
      <c r="F4" s="10">
        <f>IFERROR(VLOOKUP($C4,Reference!$A:$K,6,FALSE),0)</f>
        <v/>
      </c>
      <c r="G4" s="10">
        <f>IFERROR(VLOOKUP($C4,Reference!$A:$K,7,FALSE),0)</f>
        <v/>
      </c>
      <c r="H4" s="10">
        <f>IFERROR(VLOOKUP($C4,Reference!$A:$K,8,FALSE),0)</f>
        <v/>
      </c>
      <c r="I4" s="10">
        <f>IFERROR(VLOOKUP($C4,Reference!$A:$K,9,FALSE),0)</f>
        <v/>
      </c>
      <c r="J4" s="10">
        <f>IFERROR(VLOOKUP($C4,Reference!$A:$K,10,FALSE),0)</f>
        <v/>
      </c>
      <c r="K4" s="10">
        <f>IFERROR(VLOOKUP($C4,Reference!$A:$K,11,FALSE),0)</f>
        <v/>
      </c>
    </row>
    <row r="5">
      <c r="A5" s="14" t="inlineStr">
        <is>
          <t>Explore Portfolio</t>
        </is>
      </c>
      <c r="B5" s="15" t="inlineStr">
        <is>
          <t>Selective bets</t>
        </is>
      </c>
      <c r="C5">
        <f>A5&amp;"|"&amp;B5</f>
        <v/>
      </c>
      <c r="D5" s="8">
        <f>IFERROR(VLOOKUP($C5,Reference!$A:$K,4,FALSE),0)</f>
        <v/>
      </c>
      <c r="E5" s="8">
        <f>IFERROR(VLOOKUP($C5,Reference!$A:$K,5,FALSE),0)</f>
        <v/>
      </c>
      <c r="F5" s="8">
        <f>IFERROR(VLOOKUP($C5,Reference!$A:$K,6,FALSE),0)</f>
        <v/>
      </c>
      <c r="G5" s="8">
        <f>IFERROR(VLOOKUP($C5,Reference!$A:$K,7,FALSE),0)</f>
        <v/>
      </c>
      <c r="H5" s="8">
        <f>IFERROR(VLOOKUP($C5,Reference!$A:$K,8,FALSE),0)</f>
        <v/>
      </c>
      <c r="I5" s="8">
        <f>IFERROR(VLOOKUP($C5,Reference!$A:$K,9,FALSE),0)</f>
        <v/>
      </c>
      <c r="J5" s="8">
        <f>IFERROR(VLOOKUP($C5,Reference!$A:$K,10,FALSE),0)</f>
        <v/>
      </c>
      <c r="K5" s="8">
        <f>IFERROR(VLOOKUP($C5,Reference!$A:$K,11,FALSE),0)</f>
        <v/>
      </c>
    </row>
    <row r="6">
      <c r="A6" s="14" t="inlineStr">
        <is>
          <t>Managing Disruption</t>
        </is>
      </c>
      <c r="B6" s="15" t="inlineStr">
        <is>
          <t>Partner / license</t>
        </is>
      </c>
      <c r="C6">
        <f>A6&amp;"|"&amp;B6</f>
        <v/>
      </c>
      <c r="D6" s="10">
        <f>IFERROR(VLOOKUP($C6,Reference!$A:$K,4,FALSE),0)</f>
        <v/>
      </c>
      <c r="E6" s="10">
        <f>IFERROR(VLOOKUP($C6,Reference!$A:$K,5,FALSE),0)</f>
        <v/>
      </c>
      <c r="F6" s="10">
        <f>IFERROR(VLOOKUP($C6,Reference!$A:$K,6,FALSE),0)</f>
        <v/>
      </c>
      <c r="G6" s="10">
        <f>IFERROR(VLOOKUP($C6,Reference!$A:$K,7,FALSE),0)</f>
        <v/>
      </c>
      <c r="H6" s="10">
        <f>IFERROR(VLOOKUP($C6,Reference!$A:$K,8,FALSE),0)</f>
        <v/>
      </c>
      <c r="I6" s="10">
        <f>IFERROR(VLOOKUP($C6,Reference!$A:$K,9,FALSE),0)</f>
        <v/>
      </c>
      <c r="J6" s="10">
        <f>IFERROR(VLOOKUP($C6,Reference!$A:$K,10,FALSE),0)</f>
        <v/>
      </c>
      <c r="K6" s="10">
        <f>IFERROR(VLOOKUP($C6,Reference!$A:$K,11,FALSE),0)</f>
        <v/>
      </c>
    </row>
    <row r="7">
      <c r="A7" s="14" t="inlineStr">
        <is>
          <t>Supply Chain</t>
        </is>
      </c>
      <c r="B7" s="15" t="inlineStr">
        <is>
          <t>Dual-source</t>
        </is>
      </c>
      <c r="C7">
        <f>A7&amp;"|"&amp;B7</f>
        <v/>
      </c>
      <c r="D7" s="8">
        <f>IFERROR(VLOOKUP($C7,Reference!$A:$K,4,FALSE),0)</f>
        <v/>
      </c>
      <c r="E7" s="8">
        <f>IFERROR(VLOOKUP($C7,Reference!$A:$K,5,FALSE),0)</f>
        <v/>
      </c>
      <c r="F7" s="8">
        <f>IFERROR(VLOOKUP($C7,Reference!$A:$K,6,FALSE),0)</f>
        <v/>
      </c>
      <c r="G7" s="8">
        <f>IFERROR(VLOOKUP($C7,Reference!$A:$K,7,FALSE),0)</f>
        <v/>
      </c>
      <c r="H7" s="8">
        <f>IFERROR(VLOOKUP($C7,Reference!$A:$K,8,FALSE),0)</f>
        <v/>
      </c>
      <c r="I7" s="8">
        <f>IFERROR(VLOOKUP($C7,Reference!$A:$K,9,FALSE),0)</f>
        <v/>
      </c>
      <c r="J7" s="8">
        <f>IFERROR(VLOOKUP($C7,Reference!$A:$K,10,FALSE),0)</f>
        <v/>
      </c>
      <c r="K7" s="8">
        <f>IFERROR(VLOOKUP($C7,Reference!$A:$K,11,FALSE),0)</f>
        <v/>
      </c>
    </row>
    <row r="8">
      <c r="A8" s="14" t="inlineStr">
        <is>
          <t>Revenue &amp; Commercial Model</t>
        </is>
      </c>
      <c r="B8" s="15" t="inlineStr">
        <is>
          <t>Hold premium pricing</t>
        </is>
      </c>
      <c r="C8">
        <f>A8&amp;"|"&amp;B8</f>
        <v/>
      </c>
      <c r="D8" s="10">
        <f>IFERROR(VLOOKUP($C8,Reference!$A:$K,4,FALSE),0)</f>
        <v/>
      </c>
      <c r="E8" s="10">
        <f>IFERROR(VLOOKUP($C8,Reference!$A:$K,5,FALSE),0)</f>
        <v/>
      </c>
      <c r="F8" s="10">
        <f>IFERROR(VLOOKUP($C8,Reference!$A:$K,6,FALSE),0)</f>
        <v/>
      </c>
      <c r="G8" s="10">
        <f>IFERROR(VLOOKUP($C8,Reference!$A:$K,7,FALSE),0)</f>
        <v/>
      </c>
      <c r="H8" s="10">
        <f>IFERROR(VLOOKUP($C8,Reference!$A:$K,8,FALSE),0)</f>
        <v/>
      </c>
      <c r="I8" s="10">
        <f>IFERROR(VLOOKUP($C8,Reference!$A:$K,9,FALSE),0)</f>
        <v/>
      </c>
      <c r="J8" s="10">
        <f>IFERROR(VLOOKUP($C8,Reference!$A:$K,10,FALSE),0)</f>
        <v/>
      </c>
      <c r="K8" s="10">
        <f>IFERROR(VLOOKUP($C8,Reference!$A:$K,11,FALSE),0)</f>
        <v/>
      </c>
    </row>
    <row r="9">
      <c r="A9" s="14" t="inlineStr">
        <is>
          <t>People &amp; Talent</t>
        </is>
      </c>
      <c r="B9" s="15" t="inlineStr">
        <is>
          <t>Maintain</t>
        </is>
      </c>
      <c r="C9">
        <f>A9&amp;"|"&amp;B9</f>
        <v/>
      </c>
      <c r="D9" s="8">
        <f>IFERROR(VLOOKUP($C9,Reference!$A:$K,4,FALSE),0)</f>
        <v/>
      </c>
      <c r="E9" s="8">
        <f>IFERROR(VLOOKUP($C9,Reference!$A:$K,5,FALSE),0)</f>
        <v/>
      </c>
      <c r="F9" s="8">
        <f>IFERROR(VLOOKUP($C9,Reference!$A:$K,6,FALSE),0)</f>
        <v/>
      </c>
      <c r="G9" s="8">
        <f>IFERROR(VLOOKUP($C9,Reference!$A:$K,7,FALSE),0)</f>
        <v/>
      </c>
      <c r="H9" s="8">
        <f>IFERROR(VLOOKUP($C9,Reference!$A:$K,8,FALSE),0)</f>
        <v/>
      </c>
      <c r="I9" s="8">
        <f>IFERROR(VLOOKUP($C9,Reference!$A:$K,9,FALSE),0)</f>
        <v/>
      </c>
      <c r="J9" s="8">
        <f>IFERROR(VLOOKUP($C9,Reference!$A:$K,10,FALSE),0)</f>
        <v/>
      </c>
      <c r="K9" s="8">
        <f>IFERROR(VLOOKUP($C9,Reference!$A:$K,11,FALSE),0)</f>
        <v/>
      </c>
    </row>
    <row r="10">
      <c r="A10" s="14" t="inlineStr">
        <is>
          <t>Corporate Functions</t>
        </is>
      </c>
      <c r="B10" s="15" t="inlineStr">
        <is>
          <t>Maintain</t>
        </is>
      </c>
      <c r="C10">
        <f>A10&amp;"|"&amp;B10</f>
        <v/>
      </c>
      <c r="D10" s="10">
        <f>IFERROR(VLOOKUP($C10,Reference!$A:$K,4,FALSE),0)</f>
        <v/>
      </c>
      <c r="E10" s="10">
        <f>IFERROR(VLOOKUP($C10,Reference!$A:$K,5,FALSE),0)</f>
        <v/>
      </c>
      <c r="F10" s="10">
        <f>IFERROR(VLOOKUP($C10,Reference!$A:$K,6,FALSE),0)</f>
        <v/>
      </c>
      <c r="G10" s="10">
        <f>IFERROR(VLOOKUP($C10,Reference!$A:$K,7,FALSE),0)</f>
        <v/>
      </c>
      <c r="H10" s="10">
        <f>IFERROR(VLOOKUP($C10,Reference!$A:$K,8,FALSE),0)</f>
        <v/>
      </c>
      <c r="I10" s="10">
        <f>IFERROR(VLOOKUP($C10,Reference!$A:$K,9,FALSE),0)</f>
        <v/>
      </c>
      <c r="J10" s="10">
        <f>IFERROR(VLOOKUP($C10,Reference!$A:$K,10,FALSE),0)</f>
        <v/>
      </c>
      <c r="K10" s="10">
        <f>IFERROR(VLOOKUP($C10,Reference!$A:$K,11,FALSE),0)</f>
        <v/>
      </c>
    </row>
    <row r="12">
      <c r="A12" s="16" t="inlineStr">
        <is>
          <t>ROUND TOTALS</t>
        </is>
      </c>
      <c r="B12" s="17" t="n"/>
      <c r="D12" s="18">
        <f>SUM(D4:D10)</f>
        <v/>
      </c>
      <c r="E12" s="18">
        <f>SUM(E4:E10)</f>
        <v/>
      </c>
      <c r="F12" s="18">
        <f>SUM(F4:F10)</f>
        <v/>
      </c>
      <c r="G12" s="18">
        <f>SUM(G4:G10)</f>
        <v/>
      </c>
      <c r="H12" s="18">
        <f>SUM(H4:H10)</f>
        <v/>
      </c>
      <c r="I12" s="18">
        <f>SUM(I4:I10)</f>
        <v/>
      </c>
      <c r="J12" s="18">
        <f>SUM(J4:J10)</f>
        <v/>
      </c>
      <c r="K12" s="18">
        <f>SUM(K4:K10)</f>
        <v/>
      </c>
    </row>
  </sheetData>
  <mergeCells count="2">
    <mergeCell ref="A2:K2"/>
    <mergeCell ref="A1:K1"/>
  </mergeCells>
  <dataValidations count="7">
    <dataValidation sqref="B4" showDropDown="0" showInputMessage="0" showErrorMessage="0" allowBlank="0" error="Pick one of the listed options." prompt="How hard you run, defend and modernise the mature medical-devices business." type="list">
      <formula1>=Reference!$C$2:$C$5</formula1>
    </dataValidation>
    <dataValidation sqref="B5" showDropDown="0" showInputMessage="0" showErrorMessage="0" allowBlank="0" error="Pick one of the listed options." prompt="Investment in the digital-health SaaS platform and new growth ventures." type="list">
      <formula1>=Reference!$C$6:$C$9</formula1>
    </dataValidation>
    <dataValidation sqref="B6" showDropDown="0" showInputMessage="0" showErrorMessage="0" allowBlank="0" error="Pick one of the listed options." prompt="Response to AI diagnostics and connected-device entrants attacking the core." type="list">
      <formula1>=Reference!$C$10:$C$13</formula1>
    </dataValidation>
    <dataValidation sqref="B7" showDropDown="0" showInputMessage="0" showErrorMessage="0" allowBlank="0" error="Pick one of the listed options." prompt="Trading off landed cost against resilience for devices and components." type="list">
      <formula1>=Reference!$C$14:$C$17</formula1>
    </dataValidation>
    <dataValidation sqref="B8" showDropDown="0" showInputMessage="0" showErrorMessage="0" allowBlank="0" error="Pick one of the listed options." prompt="Pricing and business model — from one-off device sales to recurring outcomes." type="list">
      <formula1>=Reference!$C$18:$C$21</formula1>
    </dataValidation>
    <dataValidation sqref="B9" showDropDown="0" showInputMessage="0" showErrorMessage="0" allowBlank="0" error="Pick one of the listed options." prompt="Workforce strategy — the execution engine behind every other choice." type="list">
      <formula1>=Reference!$C$22:$C$25</formula1>
    </dataValidation>
    <dataValidation sqref="B10" showDropDown="0" showInputMessage="0" showErrorMessage="0" allowBlank="0" error="Pick one of the listed options." prompt="Overhead and the digital backbone (finance, IT, shared services)." type="list">
      <formula1>=Reference!$C$26:$C$29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
  <sheetViews>
    <sheetView showGridLines="0" workbookViewId="0">
      <pane ySplit="3" topLeftCell="A4" activePane="bottomLeft" state="frozen"/>
      <selection pane="bottomLeft" activeCell="A1" sqref="A1"/>
    </sheetView>
  </sheetViews>
  <sheetFormatPr baseColWidth="8" defaultRowHeight="15"/>
  <cols>
    <col width="30" customWidth="1" min="1" max="1"/>
    <col width="30" customWidth="1" min="2" max="2"/>
    <col hidden="1" width="13"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ht="32" customHeight="1">
      <c r="A1" s="1" t="inlineStr">
        <is>
          <t>ROUND 2  —  Disruption Accelerates</t>
        </is>
      </c>
      <c r="B1" s="2" t="n"/>
      <c r="C1" s="2" t="n"/>
      <c r="D1" s="2" t="n"/>
      <c r="E1" s="2" t="n"/>
      <c r="F1" s="2" t="n"/>
      <c r="G1" s="2" t="n"/>
      <c r="H1" s="2" t="n"/>
      <c r="I1" s="2" t="n"/>
      <c r="J1" s="2" t="n"/>
      <c r="K1" s="2" t="n"/>
    </row>
    <row r="2" ht="44" customHeight="1">
      <c r="A2" s="12" t="inlineStr">
        <is>
          <t>Scenario:  A rival launches a connected-device + subscription bundle, and a component shock exposes single-source supply. Investors start rewarding recurring revenue and punishing fragility.</t>
        </is>
      </c>
    </row>
    <row r="3">
      <c r="A3" s="13" t="inlineStr">
        <is>
          <t>Decision Area</t>
        </is>
      </c>
      <c r="B3" s="13" t="inlineStr">
        <is>
          <t>Your Choice</t>
        </is>
      </c>
      <c r="C3" s="13" t="inlineStr">
        <is>
          <t>key</t>
        </is>
      </c>
      <c r="D3" s="13" t="inlineStr">
        <is>
          <t>Spend $M</t>
        </is>
      </c>
      <c r="E3" s="13" t="inlineStr">
        <is>
          <t>Core g%</t>
        </is>
      </c>
      <c r="F3" s="13" t="inlineStr">
        <is>
          <t>Explore g%</t>
        </is>
      </c>
      <c r="G3" s="13" t="inlineStr">
        <is>
          <t>Margin pp</t>
        </is>
      </c>
      <c r="H3" s="13" t="inlineStr">
        <is>
          <t>Opex $M</t>
        </is>
      </c>
      <c r="I3" s="13" t="inlineStr">
        <is>
          <t>Risk</t>
        </is>
      </c>
      <c r="J3" s="13" t="inlineStr">
        <is>
          <t>Mult</t>
        </is>
      </c>
      <c r="K3" s="13" t="inlineStr">
        <is>
          <t>Recur pp</t>
        </is>
      </c>
    </row>
    <row r="4">
      <c r="A4" s="14" t="inlineStr">
        <is>
          <t>Managing the Core (Exploit)</t>
        </is>
      </c>
      <c r="B4" s="15" t="inlineStr">
        <is>
          <t>Maintain</t>
        </is>
      </c>
      <c r="C4">
        <f>A4&amp;"|"&amp;B4</f>
        <v/>
      </c>
      <c r="D4" s="10">
        <f>IFERROR(VLOOKUP($C4,Reference!$A:$K,4,FALSE),0)</f>
        <v/>
      </c>
      <c r="E4" s="10">
        <f>IFERROR(VLOOKUP($C4,Reference!$A:$K,5,FALSE),0)</f>
        <v/>
      </c>
      <c r="F4" s="10">
        <f>IFERROR(VLOOKUP($C4,Reference!$A:$K,6,FALSE),0)</f>
        <v/>
      </c>
      <c r="G4" s="10">
        <f>IFERROR(VLOOKUP($C4,Reference!$A:$K,7,FALSE),0)</f>
        <v/>
      </c>
      <c r="H4" s="10">
        <f>IFERROR(VLOOKUP($C4,Reference!$A:$K,8,FALSE),0)</f>
        <v/>
      </c>
      <c r="I4" s="10">
        <f>IFERROR(VLOOKUP($C4,Reference!$A:$K,9,FALSE),0)</f>
        <v/>
      </c>
      <c r="J4" s="10">
        <f>IFERROR(VLOOKUP($C4,Reference!$A:$K,10,FALSE),0)</f>
        <v/>
      </c>
      <c r="K4" s="10">
        <f>IFERROR(VLOOKUP($C4,Reference!$A:$K,11,FALSE),0)</f>
        <v/>
      </c>
    </row>
    <row r="5">
      <c r="A5" s="14" t="inlineStr">
        <is>
          <t>Explore Portfolio</t>
        </is>
      </c>
      <c r="B5" s="15" t="inlineStr">
        <is>
          <t>Selective bets</t>
        </is>
      </c>
      <c r="C5">
        <f>A5&amp;"|"&amp;B5</f>
        <v/>
      </c>
      <c r="D5" s="8">
        <f>IFERROR(VLOOKUP($C5,Reference!$A:$K,4,FALSE),0)</f>
        <v/>
      </c>
      <c r="E5" s="8">
        <f>IFERROR(VLOOKUP($C5,Reference!$A:$K,5,FALSE),0)</f>
        <v/>
      </c>
      <c r="F5" s="8">
        <f>IFERROR(VLOOKUP($C5,Reference!$A:$K,6,FALSE),0)</f>
        <v/>
      </c>
      <c r="G5" s="8">
        <f>IFERROR(VLOOKUP($C5,Reference!$A:$K,7,FALSE),0)</f>
        <v/>
      </c>
      <c r="H5" s="8">
        <f>IFERROR(VLOOKUP($C5,Reference!$A:$K,8,FALSE),0)</f>
        <v/>
      </c>
      <c r="I5" s="8">
        <f>IFERROR(VLOOKUP($C5,Reference!$A:$K,9,FALSE),0)</f>
        <v/>
      </c>
      <c r="J5" s="8">
        <f>IFERROR(VLOOKUP($C5,Reference!$A:$K,10,FALSE),0)</f>
        <v/>
      </c>
      <c r="K5" s="8">
        <f>IFERROR(VLOOKUP($C5,Reference!$A:$K,11,FALSE),0)</f>
        <v/>
      </c>
    </row>
    <row r="6">
      <c r="A6" s="14" t="inlineStr">
        <is>
          <t>Managing Disruption</t>
        </is>
      </c>
      <c r="B6" s="15" t="inlineStr">
        <is>
          <t>Partner / license</t>
        </is>
      </c>
      <c r="C6">
        <f>A6&amp;"|"&amp;B6</f>
        <v/>
      </c>
      <c r="D6" s="10">
        <f>IFERROR(VLOOKUP($C6,Reference!$A:$K,4,FALSE),0)</f>
        <v/>
      </c>
      <c r="E6" s="10">
        <f>IFERROR(VLOOKUP($C6,Reference!$A:$K,5,FALSE),0)</f>
        <v/>
      </c>
      <c r="F6" s="10">
        <f>IFERROR(VLOOKUP($C6,Reference!$A:$K,6,FALSE),0)</f>
        <v/>
      </c>
      <c r="G6" s="10">
        <f>IFERROR(VLOOKUP($C6,Reference!$A:$K,7,FALSE),0)</f>
        <v/>
      </c>
      <c r="H6" s="10">
        <f>IFERROR(VLOOKUP($C6,Reference!$A:$K,8,FALSE),0)</f>
        <v/>
      </c>
      <c r="I6" s="10">
        <f>IFERROR(VLOOKUP($C6,Reference!$A:$K,9,FALSE),0)</f>
        <v/>
      </c>
      <c r="J6" s="10">
        <f>IFERROR(VLOOKUP($C6,Reference!$A:$K,10,FALSE),0)</f>
        <v/>
      </c>
      <c r="K6" s="10">
        <f>IFERROR(VLOOKUP($C6,Reference!$A:$K,11,FALSE),0)</f>
        <v/>
      </c>
    </row>
    <row r="7">
      <c r="A7" s="14" t="inlineStr">
        <is>
          <t>Supply Chain</t>
        </is>
      </c>
      <c r="B7" s="15" t="inlineStr">
        <is>
          <t>Dual-source</t>
        </is>
      </c>
      <c r="C7">
        <f>A7&amp;"|"&amp;B7</f>
        <v/>
      </c>
      <c r="D7" s="8">
        <f>IFERROR(VLOOKUP($C7,Reference!$A:$K,4,FALSE),0)</f>
        <v/>
      </c>
      <c r="E7" s="8">
        <f>IFERROR(VLOOKUP($C7,Reference!$A:$K,5,FALSE),0)</f>
        <v/>
      </c>
      <c r="F7" s="8">
        <f>IFERROR(VLOOKUP($C7,Reference!$A:$K,6,FALSE),0)</f>
        <v/>
      </c>
      <c r="G7" s="8">
        <f>IFERROR(VLOOKUP($C7,Reference!$A:$K,7,FALSE),0)</f>
        <v/>
      </c>
      <c r="H7" s="8">
        <f>IFERROR(VLOOKUP($C7,Reference!$A:$K,8,FALSE),0)</f>
        <v/>
      </c>
      <c r="I7" s="8">
        <f>IFERROR(VLOOKUP($C7,Reference!$A:$K,9,FALSE),0)</f>
        <v/>
      </c>
      <c r="J7" s="8">
        <f>IFERROR(VLOOKUP($C7,Reference!$A:$K,10,FALSE),0)</f>
        <v/>
      </c>
      <c r="K7" s="8">
        <f>IFERROR(VLOOKUP($C7,Reference!$A:$K,11,FALSE),0)</f>
        <v/>
      </c>
    </row>
    <row r="8">
      <c r="A8" s="14" t="inlineStr">
        <is>
          <t>Revenue &amp; Commercial Model</t>
        </is>
      </c>
      <c r="B8" s="15" t="inlineStr">
        <is>
          <t>Hold premium pricing</t>
        </is>
      </c>
      <c r="C8">
        <f>A8&amp;"|"&amp;B8</f>
        <v/>
      </c>
      <c r="D8" s="10">
        <f>IFERROR(VLOOKUP($C8,Reference!$A:$K,4,FALSE),0)</f>
        <v/>
      </c>
      <c r="E8" s="10">
        <f>IFERROR(VLOOKUP($C8,Reference!$A:$K,5,FALSE),0)</f>
        <v/>
      </c>
      <c r="F8" s="10">
        <f>IFERROR(VLOOKUP($C8,Reference!$A:$K,6,FALSE),0)</f>
        <v/>
      </c>
      <c r="G8" s="10">
        <f>IFERROR(VLOOKUP($C8,Reference!$A:$K,7,FALSE),0)</f>
        <v/>
      </c>
      <c r="H8" s="10">
        <f>IFERROR(VLOOKUP($C8,Reference!$A:$K,8,FALSE),0)</f>
        <v/>
      </c>
      <c r="I8" s="10">
        <f>IFERROR(VLOOKUP($C8,Reference!$A:$K,9,FALSE),0)</f>
        <v/>
      </c>
      <c r="J8" s="10">
        <f>IFERROR(VLOOKUP($C8,Reference!$A:$K,10,FALSE),0)</f>
        <v/>
      </c>
      <c r="K8" s="10">
        <f>IFERROR(VLOOKUP($C8,Reference!$A:$K,11,FALSE),0)</f>
        <v/>
      </c>
    </row>
    <row r="9">
      <c r="A9" s="14" t="inlineStr">
        <is>
          <t>People &amp; Talent</t>
        </is>
      </c>
      <c r="B9" s="15" t="inlineStr">
        <is>
          <t>Maintain</t>
        </is>
      </c>
      <c r="C9">
        <f>A9&amp;"|"&amp;B9</f>
        <v/>
      </c>
      <c r="D9" s="8">
        <f>IFERROR(VLOOKUP($C9,Reference!$A:$K,4,FALSE),0)</f>
        <v/>
      </c>
      <c r="E9" s="8">
        <f>IFERROR(VLOOKUP($C9,Reference!$A:$K,5,FALSE),0)</f>
        <v/>
      </c>
      <c r="F9" s="8">
        <f>IFERROR(VLOOKUP($C9,Reference!$A:$K,6,FALSE),0)</f>
        <v/>
      </c>
      <c r="G9" s="8">
        <f>IFERROR(VLOOKUP($C9,Reference!$A:$K,7,FALSE),0)</f>
        <v/>
      </c>
      <c r="H9" s="8">
        <f>IFERROR(VLOOKUP($C9,Reference!$A:$K,8,FALSE),0)</f>
        <v/>
      </c>
      <c r="I9" s="8">
        <f>IFERROR(VLOOKUP($C9,Reference!$A:$K,9,FALSE),0)</f>
        <v/>
      </c>
      <c r="J9" s="8">
        <f>IFERROR(VLOOKUP($C9,Reference!$A:$K,10,FALSE),0)</f>
        <v/>
      </c>
      <c r="K9" s="8">
        <f>IFERROR(VLOOKUP($C9,Reference!$A:$K,11,FALSE),0)</f>
        <v/>
      </c>
    </row>
    <row r="10">
      <c r="A10" s="14" t="inlineStr">
        <is>
          <t>Corporate Functions</t>
        </is>
      </c>
      <c r="B10" s="15" t="inlineStr">
        <is>
          <t>Maintain</t>
        </is>
      </c>
      <c r="C10">
        <f>A10&amp;"|"&amp;B10</f>
        <v/>
      </c>
      <c r="D10" s="10">
        <f>IFERROR(VLOOKUP($C10,Reference!$A:$K,4,FALSE),0)</f>
        <v/>
      </c>
      <c r="E10" s="10">
        <f>IFERROR(VLOOKUP($C10,Reference!$A:$K,5,FALSE),0)</f>
        <v/>
      </c>
      <c r="F10" s="10">
        <f>IFERROR(VLOOKUP($C10,Reference!$A:$K,6,FALSE),0)</f>
        <v/>
      </c>
      <c r="G10" s="10">
        <f>IFERROR(VLOOKUP($C10,Reference!$A:$K,7,FALSE),0)</f>
        <v/>
      </c>
      <c r="H10" s="10">
        <f>IFERROR(VLOOKUP($C10,Reference!$A:$K,8,FALSE),0)</f>
        <v/>
      </c>
      <c r="I10" s="10">
        <f>IFERROR(VLOOKUP($C10,Reference!$A:$K,9,FALSE),0)</f>
        <v/>
      </c>
      <c r="J10" s="10">
        <f>IFERROR(VLOOKUP($C10,Reference!$A:$K,10,FALSE),0)</f>
        <v/>
      </c>
      <c r="K10" s="10">
        <f>IFERROR(VLOOKUP($C10,Reference!$A:$K,11,FALSE),0)</f>
        <v/>
      </c>
    </row>
    <row r="12">
      <c r="A12" s="16" t="inlineStr">
        <is>
          <t>ROUND TOTALS</t>
        </is>
      </c>
      <c r="B12" s="17" t="n"/>
      <c r="D12" s="18">
        <f>SUM(D4:D10)</f>
        <v/>
      </c>
      <c r="E12" s="18">
        <f>SUM(E4:E10)</f>
        <v/>
      </c>
      <c r="F12" s="18">
        <f>SUM(F4:F10)</f>
        <v/>
      </c>
      <c r="G12" s="18">
        <f>SUM(G4:G10)</f>
        <v/>
      </c>
      <c r="H12" s="18">
        <f>SUM(H4:H10)</f>
        <v/>
      </c>
      <c r="I12" s="18">
        <f>SUM(I4:I10)</f>
        <v/>
      </c>
      <c r="J12" s="18">
        <f>SUM(J4:J10)</f>
        <v/>
      </c>
      <c r="K12" s="18">
        <f>SUM(K4:K10)</f>
        <v/>
      </c>
    </row>
  </sheetData>
  <mergeCells count="2">
    <mergeCell ref="A2:K2"/>
    <mergeCell ref="A1:K1"/>
  </mergeCells>
  <dataValidations count="7">
    <dataValidation sqref="B4" showDropDown="0" showInputMessage="0" showErrorMessage="0" allowBlank="0" error="Pick one of the listed options." prompt="How hard you run, defend and modernise the mature medical-devices business." type="list">
      <formula1>=Reference!$C$2:$C$5</formula1>
    </dataValidation>
    <dataValidation sqref="B5" showDropDown="0" showInputMessage="0" showErrorMessage="0" allowBlank="0" error="Pick one of the listed options." prompt="Investment in the digital-health SaaS platform and new growth ventures." type="list">
      <formula1>=Reference!$C$6:$C$9</formula1>
    </dataValidation>
    <dataValidation sqref="B6" showDropDown="0" showInputMessage="0" showErrorMessage="0" allowBlank="0" error="Pick one of the listed options." prompt="Response to AI diagnostics and connected-device entrants attacking the core." type="list">
      <formula1>=Reference!$C$10:$C$13</formula1>
    </dataValidation>
    <dataValidation sqref="B7" showDropDown="0" showInputMessage="0" showErrorMessage="0" allowBlank="0" error="Pick one of the listed options." prompt="Trading off landed cost against resilience for devices and components." type="list">
      <formula1>=Reference!$C$14:$C$17</formula1>
    </dataValidation>
    <dataValidation sqref="B8" showDropDown="0" showInputMessage="0" showErrorMessage="0" allowBlank="0" error="Pick one of the listed options." prompt="Pricing and business model — from one-off device sales to recurring outcomes." type="list">
      <formula1>=Reference!$C$18:$C$21</formula1>
    </dataValidation>
    <dataValidation sqref="B9" showDropDown="0" showInputMessage="0" showErrorMessage="0" allowBlank="0" error="Pick one of the listed options." prompt="Workforce strategy — the execution engine behind every other choice." type="list">
      <formula1>=Reference!$C$22:$C$25</formula1>
    </dataValidation>
    <dataValidation sqref="B10" showDropDown="0" showInputMessage="0" showErrorMessage="0" allowBlank="0" error="Pick one of the listed options." prompt="Overhead and the digital backbone (finance, IT, shared services)." type="list">
      <formula1>=Reference!$C$26:$C$29</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showGridLines="0" workbookViewId="0">
      <pane ySplit="3" topLeftCell="A4" activePane="bottomLeft" state="frozen"/>
      <selection pane="bottomLeft" activeCell="A1" sqref="A1"/>
    </sheetView>
  </sheetViews>
  <sheetFormatPr baseColWidth="8" defaultRowHeight="15"/>
  <cols>
    <col width="30" customWidth="1" min="1" max="1"/>
    <col width="30" customWidth="1" min="2" max="2"/>
    <col hidden="1" width="13"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ht="32" customHeight="1">
      <c r="A1" s="1" t="inlineStr">
        <is>
          <t>ROUND 3  —  The New Normal</t>
        </is>
      </c>
      <c r="B1" s="2" t="n"/>
      <c r="C1" s="2" t="n"/>
      <c r="D1" s="2" t="n"/>
      <c r="E1" s="2" t="n"/>
      <c r="F1" s="2" t="n"/>
      <c r="G1" s="2" t="n"/>
      <c r="H1" s="2" t="n"/>
      <c r="I1" s="2" t="n"/>
      <c r="J1" s="2" t="n"/>
      <c r="K1" s="2" t="n"/>
    </row>
    <row r="2" ht="44" customHeight="1">
      <c r="A2" s="12" t="inlineStr">
        <is>
          <t>Scenario:  Value-based care mandates reshape buying. The market now prizes recurring SaaS revenue, proven innovation and low operating risk. Time to convert your build-up into enterprise value.</t>
        </is>
      </c>
    </row>
    <row r="3">
      <c r="A3" s="13" t="inlineStr">
        <is>
          <t>Decision Area</t>
        </is>
      </c>
      <c r="B3" s="13" t="inlineStr">
        <is>
          <t>Your Choice</t>
        </is>
      </c>
      <c r="C3" s="13" t="inlineStr">
        <is>
          <t>key</t>
        </is>
      </c>
      <c r="D3" s="13" t="inlineStr">
        <is>
          <t>Spend $M</t>
        </is>
      </c>
      <c r="E3" s="13" t="inlineStr">
        <is>
          <t>Core g%</t>
        </is>
      </c>
      <c r="F3" s="13" t="inlineStr">
        <is>
          <t>Explore g%</t>
        </is>
      </c>
      <c r="G3" s="13" t="inlineStr">
        <is>
          <t>Margin pp</t>
        </is>
      </c>
      <c r="H3" s="13" t="inlineStr">
        <is>
          <t>Opex $M</t>
        </is>
      </c>
      <c r="I3" s="13" t="inlineStr">
        <is>
          <t>Risk</t>
        </is>
      </c>
      <c r="J3" s="13" t="inlineStr">
        <is>
          <t>Mult</t>
        </is>
      </c>
      <c r="K3" s="13" t="inlineStr">
        <is>
          <t>Recur pp</t>
        </is>
      </c>
    </row>
    <row r="4">
      <c r="A4" s="14" t="inlineStr">
        <is>
          <t>Managing the Core (Exploit)</t>
        </is>
      </c>
      <c r="B4" s="15" t="inlineStr">
        <is>
          <t>Maintain</t>
        </is>
      </c>
      <c r="C4">
        <f>A4&amp;"|"&amp;B4</f>
        <v/>
      </c>
      <c r="D4" s="10">
        <f>IFERROR(VLOOKUP($C4,Reference!$A:$K,4,FALSE),0)</f>
        <v/>
      </c>
      <c r="E4" s="10">
        <f>IFERROR(VLOOKUP($C4,Reference!$A:$K,5,FALSE),0)</f>
        <v/>
      </c>
      <c r="F4" s="10">
        <f>IFERROR(VLOOKUP($C4,Reference!$A:$K,6,FALSE),0)</f>
        <v/>
      </c>
      <c r="G4" s="10">
        <f>IFERROR(VLOOKUP($C4,Reference!$A:$K,7,FALSE),0)</f>
        <v/>
      </c>
      <c r="H4" s="10">
        <f>IFERROR(VLOOKUP($C4,Reference!$A:$K,8,FALSE),0)</f>
        <v/>
      </c>
      <c r="I4" s="10">
        <f>IFERROR(VLOOKUP($C4,Reference!$A:$K,9,FALSE),0)</f>
        <v/>
      </c>
      <c r="J4" s="10">
        <f>IFERROR(VLOOKUP($C4,Reference!$A:$K,10,FALSE),0)</f>
        <v/>
      </c>
      <c r="K4" s="10">
        <f>IFERROR(VLOOKUP($C4,Reference!$A:$K,11,FALSE),0)</f>
        <v/>
      </c>
    </row>
    <row r="5">
      <c r="A5" s="14" t="inlineStr">
        <is>
          <t>Explore Portfolio</t>
        </is>
      </c>
      <c r="B5" s="15" t="inlineStr">
        <is>
          <t>Selective bets</t>
        </is>
      </c>
      <c r="C5">
        <f>A5&amp;"|"&amp;B5</f>
        <v/>
      </c>
      <c r="D5" s="8">
        <f>IFERROR(VLOOKUP($C5,Reference!$A:$K,4,FALSE),0)</f>
        <v/>
      </c>
      <c r="E5" s="8">
        <f>IFERROR(VLOOKUP($C5,Reference!$A:$K,5,FALSE),0)</f>
        <v/>
      </c>
      <c r="F5" s="8">
        <f>IFERROR(VLOOKUP($C5,Reference!$A:$K,6,FALSE),0)</f>
        <v/>
      </c>
      <c r="G5" s="8">
        <f>IFERROR(VLOOKUP($C5,Reference!$A:$K,7,FALSE),0)</f>
        <v/>
      </c>
      <c r="H5" s="8">
        <f>IFERROR(VLOOKUP($C5,Reference!$A:$K,8,FALSE),0)</f>
        <v/>
      </c>
      <c r="I5" s="8">
        <f>IFERROR(VLOOKUP($C5,Reference!$A:$K,9,FALSE),0)</f>
        <v/>
      </c>
      <c r="J5" s="8">
        <f>IFERROR(VLOOKUP($C5,Reference!$A:$K,10,FALSE),0)</f>
        <v/>
      </c>
      <c r="K5" s="8">
        <f>IFERROR(VLOOKUP($C5,Reference!$A:$K,11,FALSE),0)</f>
        <v/>
      </c>
    </row>
    <row r="6">
      <c r="A6" s="14" t="inlineStr">
        <is>
          <t>Managing Disruption</t>
        </is>
      </c>
      <c r="B6" s="15" t="inlineStr">
        <is>
          <t>Partner / license</t>
        </is>
      </c>
      <c r="C6">
        <f>A6&amp;"|"&amp;B6</f>
        <v/>
      </c>
      <c r="D6" s="10">
        <f>IFERROR(VLOOKUP($C6,Reference!$A:$K,4,FALSE),0)</f>
        <v/>
      </c>
      <c r="E6" s="10">
        <f>IFERROR(VLOOKUP($C6,Reference!$A:$K,5,FALSE),0)</f>
        <v/>
      </c>
      <c r="F6" s="10">
        <f>IFERROR(VLOOKUP($C6,Reference!$A:$K,6,FALSE),0)</f>
        <v/>
      </c>
      <c r="G6" s="10">
        <f>IFERROR(VLOOKUP($C6,Reference!$A:$K,7,FALSE),0)</f>
        <v/>
      </c>
      <c r="H6" s="10">
        <f>IFERROR(VLOOKUP($C6,Reference!$A:$K,8,FALSE),0)</f>
        <v/>
      </c>
      <c r="I6" s="10">
        <f>IFERROR(VLOOKUP($C6,Reference!$A:$K,9,FALSE),0)</f>
        <v/>
      </c>
      <c r="J6" s="10">
        <f>IFERROR(VLOOKUP($C6,Reference!$A:$K,10,FALSE),0)</f>
        <v/>
      </c>
      <c r="K6" s="10">
        <f>IFERROR(VLOOKUP($C6,Reference!$A:$K,11,FALSE),0)</f>
        <v/>
      </c>
    </row>
    <row r="7">
      <c r="A7" s="14" t="inlineStr">
        <is>
          <t>Supply Chain</t>
        </is>
      </c>
      <c r="B7" s="15" t="inlineStr">
        <is>
          <t>Dual-source</t>
        </is>
      </c>
      <c r="C7">
        <f>A7&amp;"|"&amp;B7</f>
        <v/>
      </c>
      <c r="D7" s="8">
        <f>IFERROR(VLOOKUP($C7,Reference!$A:$K,4,FALSE),0)</f>
        <v/>
      </c>
      <c r="E7" s="8">
        <f>IFERROR(VLOOKUP($C7,Reference!$A:$K,5,FALSE),0)</f>
        <v/>
      </c>
      <c r="F7" s="8">
        <f>IFERROR(VLOOKUP($C7,Reference!$A:$K,6,FALSE),0)</f>
        <v/>
      </c>
      <c r="G7" s="8">
        <f>IFERROR(VLOOKUP($C7,Reference!$A:$K,7,FALSE),0)</f>
        <v/>
      </c>
      <c r="H7" s="8">
        <f>IFERROR(VLOOKUP($C7,Reference!$A:$K,8,FALSE),0)</f>
        <v/>
      </c>
      <c r="I7" s="8">
        <f>IFERROR(VLOOKUP($C7,Reference!$A:$K,9,FALSE),0)</f>
        <v/>
      </c>
      <c r="J7" s="8">
        <f>IFERROR(VLOOKUP($C7,Reference!$A:$K,10,FALSE),0)</f>
        <v/>
      </c>
      <c r="K7" s="8">
        <f>IFERROR(VLOOKUP($C7,Reference!$A:$K,11,FALSE),0)</f>
        <v/>
      </c>
    </row>
    <row r="8">
      <c r="A8" s="14" t="inlineStr">
        <is>
          <t>Revenue &amp; Commercial Model</t>
        </is>
      </c>
      <c r="B8" s="15" t="inlineStr">
        <is>
          <t>Hold premium pricing</t>
        </is>
      </c>
      <c r="C8">
        <f>A8&amp;"|"&amp;B8</f>
        <v/>
      </c>
      <c r="D8" s="10">
        <f>IFERROR(VLOOKUP($C8,Reference!$A:$K,4,FALSE),0)</f>
        <v/>
      </c>
      <c r="E8" s="10">
        <f>IFERROR(VLOOKUP($C8,Reference!$A:$K,5,FALSE),0)</f>
        <v/>
      </c>
      <c r="F8" s="10">
        <f>IFERROR(VLOOKUP($C8,Reference!$A:$K,6,FALSE),0)</f>
        <v/>
      </c>
      <c r="G8" s="10">
        <f>IFERROR(VLOOKUP($C8,Reference!$A:$K,7,FALSE),0)</f>
        <v/>
      </c>
      <c r="H8" s="10">
        <f>IFERROR(VLOOKUP($C8,Reference!$A:$K,8,FALSE),0)</f>
        <v/>
      </c>
      <c r="I8" s="10">
        <f>IFERROR(VLOOKUP($C8,Reference!$A:$K,9,FALSE),0)</f>
        <v/>
      </c>
      <c r="J8" s="10">
        <f>IFERROR(VLOOKUP($C8,Reference!$A:$K,10,FALSE),0)</f>
        <v/>
      </c>
      <c r="K8" s="10">
        <f>IFERROR(VLOOKUP($C8,Reference!$A:$K,11,FALSE),0)</f>
        <v/>
      </c>
    </row>
    <row r="9">
      <c r="A9" s="14" t="inlineStr">
        <is>
          <t>People &amp; Talent</t>
        </is>
      </c>
      <c r="B9" s="15" t="inlineStr">
        <is>
          <t>Maintain</t>
        </is>
      </c>
      <c r="C9">
        <f>A9&amp;"|"&amp;B9</f>
        <v/>
      </c>
      <c r="D9" s="8">
        <f>IFERROR(VLOOKUP($C9,Reference!$A:$K,4,FALSE),0)</f>
        <v/>
      </c>
      <c r="E9" s="8">
        <f>IFERROR(VLOOKUP($C9,Reference!$A:$K,5,FALSE),0)</f>
        <v/>
      </c>
      <c r="F9" s="8">
        <f>IFERROR(VLOOKUP($C9,Reference!$A:$K,6,FALSE),0)</f>
        <v/>
      </c>
      <c r="G9" s="8">
        <f>IFERROR(VLOOKUP($C9,Reference!$A:$K,7,FALSE),0)</f>
        <v/>
      </c>
      <c r="H9" s="8">
        <f>IFERROR(VLOOKUP($C9,Reference!$A:$K,8,FALSE),0)</f>
        <v/>
      </c>
      <c r="I9" s="8">
        <f>IFERROR(VLOOKUP($C9,Reference!$A:$K,9,FALSE),0)</f>
        <v/>
      </c>
      <c r="J9" s="8">
        <f>IFERROR(VLOOKUP($C9,Reference!$A:$K,10,FALSE),0)</f>
        <v/>
      </c>
      <c r="K9" s="8">
        <f>IFERROR(VLOOKUP($C9,Reference!$A:$K,11,FALSE),0)</f>
        <v/>
      </c>
    </row>
    <row r="10">
      <c r="A10" s="14" t="inlineStr">
        <is>
          <t>Corporate Functions</t>
        </is>
      </c>
      <c r="B10" s="15" t="inlineStr">
        <is>
          <t>Maintain</t>
        </is>
      </c>
      <c r="C10">
        <f>A10&amp;"|"&amp;B10</f>
        <v/>
      </c>
      <c r="D10" s="10">
        <f>IFERROR(VLOOKUP($C10,Reference!$A:$K,4,FALSE),0)</f>
        <v/>
      </c>
      <c r="E10" s="10">
        <f>IFERROR(VLOOKUP($C10,Reference!$A:$K,5,FALSE),0)</f>
        <v/>
      </c>
      <c r="F10" s="10">
        <f>IFERROR(VLOOKUP($C10,Reference!$A:$K,6,FALSE),0)</f>
        <v/>
      </c>
      <c r="G10" s="10">
        <f>IFERROR(VLOOKUP($C10,Reference!$A:$K,7,FALSE),0)</f>
        <v/>
      </c>
      <c r="H10" s="10">
        <f>IFERROR(VLOOKUP($C10,Reference!$A:$K,8,FALSE),0)</f>
        <v/>
      </c>
      <c r="I10" s="10">
        <f>IFERROR(VLOOKUP($C10,Reference!$A:$K,9,FALSE),0)</f>
        <v/>
      </c>
      <c r="J10" s="10">
        <f>IFERROR(VLOOKUP($C10,Reference!$A:$K,10,FALSE),0)</f>
        <v/>
      </c>
      <c r="K10" s="10">
        <f>IFERROR(VLOOKUP($C10,Reference!$A:$K,11,FALSE),0)</f>
        <v/>
      </c>
    </row>
    <row r="12">
      <c r="A12" s="16" t="inlineStr">
        <is>
          <t>ROUND TOTALS</t>
        </is>
      </c>
      <c r="B12" s="17" t="n"/>
      <c r="D12" s="18">
        <f>SUM(D4:D10)</f>
        <v/>
      </c>
      <c r="E12" s="18">
        <f>SUM(E4:E10)</f>
        <v/>
      </c>
      <c r="F12" s="18">
        <f>SUM(F4:F10)</f>
        <v/>
      </c>
      <c r="G12" s="18">
        <f>SUM(G4:G10)</f>
        <v/>
      </c>
      <c r="H12" s="18">
        <f>SUM(H4:H10)</f>
        <v/>
      </c>
      <c r="I12" s="18">
        <f>SUM(I4:I10)</f>
        <v/>
      </c>
      <c r="J12" s="18">
        <f>SUM(J4:J10)</f>
        <v/>
      </c>
      <c r="K12" s="18">
        <f>SUM(K4:K10)</f>
        <v/>
      </c>
    </row>
  </sheetData>
  <mergeCells count="2">
    <mergeCell ref="A2:K2"/>
    <mergeCell ref="A1:K1"/>
  </mergeCells>
  <dataValidations count="7">
    <dataValidation sqref="B4" showDropDown="0" showInputMessage="0" showErrorMessage="0" allowBlank="0" error="Pick one of the listed options." prompt="How hard you run, defend and modernise the mature medical-devices business." type="list">
      <formula1>=Reference!$C$2:$C$5</formula1>
    </dataValidation>
    <dataValidation sqref="B5" showDropDown="0" showInputMessage="0" showErrorMessage="0" allowBlank="0" error="Pick one of the listed options." prompt="Investment in the digital-health SaaS platform and new growth ventures." type="list">
      <formula1>=Reference!$C$6:$C$9</formula1>
    </dataValidation>
    <dataValidation sqref="B6" showDropDown="0" showInputMessage="0" showErrorMessage="0" allowBlank="0" error="Pick one of the listed options." prompt="Response to AI diagnostics and connected-device entrants attacking the core." type="list">
      <formula1>=Reference!$C$10:$C$13</formula1>
    </dataValidation>
    <dataValidation sqref="B7" showDropDown="0" showInputMessage="0" showErrorMessage="0" allowBlank="0" error="Pick one of the listed options." prompt="Trading off landed cost against resilience for devices and components." type="list">
      <formula1>=Reference!$C$14:$C$17</formula1>
    </dataValidation>
    <dataValidation sqref="B8" showDropDown="0" showInputMessage="0" showErrorMessage="0" allowBlank="0" error="Pick one of the listed options." prompt="Pricing and business model — from one-off device sales to recurring outcomes." type="list">
      <formula1>=Reference!$C$18:$C$21</formula1>
    </dataValidation>
    <dataValidation sqref="B9" showDropDown="0" showInputMessage="0" showErrorMessage="0" allowBlank="0" error="Pick one of the listed options." prompt="Workforce strategy — the execution engine behind every other choice." type="list">
      <formula1>=Reference!$C$22:$C$25</formula1>
    </dataValidation>
    <dataValidation sqref="B10" showDropDown="0" showInputMessage="0" showErrorMessage="0" allowBlank="0" error="Pick one of the listed options." prompt="Overhead and the digital backbone (finance, IT, shared services)." type="list">
      <formula1>=Reference!$C$26:$C$29</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13" customWidth="1" min="4" max="4"/>
    <col width="13" customWidth="1" min="5" max="5"/>
  </cols>
  <sheetData>
    <row r="1" ht="30" customHeight="1">
      <c r="A1" s="1" t="inlineStr">
        <is>
          <t>FINANCIAL ENGINE  ($M unless noted)</t>
        </is>
      </c>
      <c r="B1" s="2" t="n"/>
      <c r="C1" s="2" t="n"/>
      <c r="D1" s="2" t="n"/>
      <c r="E1" s="2" t="n"/>
    </row>
    <row r="2">
      <c r="A2" s="13" t="inlineStr">
        <is>
          <t>Metric</t>
        </is>
      </c>
      <c r="B2" s="13" t="inlineStr">
        <is>
          <t>Start</t>
        </is>
      </c>
      <c r="C2" s="13" t="inlineStr">
        <is>
          <t>Round 1</t>
        </is>
      </c>
      <c r="D2" s="13" t="inlineStr">
        <is>
          <t>Round 2</t>
        </is>
      </c>
      <c r="E2" s="13" t="inlineStr">
        <is>
          <t>Round 3</t>
        </is>
      </c>
    </row>
    <row r="3">
      <c r="A3" s="9" t="inlineStr">
        <is>
          <t>Core revenue (devices)</t>
        </is>
      </c>
      <c r="B3" s="19" t="n">
        <v>1800</v>
      </c>
      <c r="C3" s="19">
        <f>B3*(1+(1.5+'Round 1'!E12)/100)</f>
        <v/>
      </c>
      <c r="D3" s="19">
        <f>C3*(1+(1.5+'Round 2'!E12)/100)</f>
        <v/>
      </c>
      <c r="E3" s="19">
        <f>D3*(1+(1.5+'Round 3'!E12)/100)</f>
        <v/>
      </c>
    </row>
    <row r="4">
      <c r="A4" s="11" t="inlineStr">
        <is>
          <t>Explore revenue (SaaS/ventures)</t>
        </is>
      </c>
      <c r="B4" s="20" t="n">
        <v>200</v>
      </c>
      <c r="C4" s="20">
        <f>B4*(1+(8.0+'Round 1'!F12)/100)</f>
        <v/>
      </c>
      <c r="D4" s="20">
        <f>C4*(1+(8.0+'Round 2'!F12)/100)</f>
        <v/>
      </c>
      <c r="E4" s="20">
        <f>D4*(1+(8.0+'Round 3'!F12)/100)</f>
        <v/>
      </c>
    </row>
    <row r="5">
      <c r="A5" s="9" t="inlineStr">
        <is>
          <t>Total revenue</t>
        </is>
      </c>
      <c r="B5" s="19">
        <f>B3+B4</f>
        <v/>
      </c>
      <c r="C5" s="19">
        <f>C3+C4</f>
        <v/>
      </c>
      <c r="D5" s="19">
        <f>D3+D4</f>
        <v/>
      </c>
      <c r="E5" s="19">
        <f>E3+E4</f>
        <v/>
      </c>
    </row>
    <row r="6">
      <c r="A6" s="11" t="inlineStr">
        <is>
          <t>Revenue growth %</t>
        </is>
      </c>
      <c r="B6" s="21" t="n">
        <v>0</v>
      </c>
      <c r="C6" s="21">
        <f>C5/B5-1</f>
        <v/>
      </c>
      <c r="D6" s="21">
        <f>D5/C5-1</f>
        <v/>
      </c>
      <c r="E6" s="21">
        <f>E5/D5-1</f>
        <v/>
      </c>
    </row>
    <row r="7">
      <c r="A7" s="9" t="inlineStr">
        <is>
          <t>Gross margin %</t>
        </is>
      </c>
      <c r="B7" s="22" t="n">
        <v>60</v>
      </c>
      <c r="C7" s="22">
        <f>B7+'Round 1'!G12</f>
        <v/>
      </c>
      <c r="D7" s="22">
        <f>C7+'Round 2'!G12</f>
        <v/>
      </c>
      <c r="E7" s="22">
        <f>D7+'Round 3'!G12</f>
        <v/>
      </c>
    </row>
    <row r="8">
      <c r="A8" s="11" t="inlineStr">
        <is>
          <t>Gross profit</t>
        </is>
      </c>
      <c r="B8" s="20">
        <f>B5*B7/100</f>
        <v/>
      </c>
      <c r="C8" s="20">
        <f>C5*C7/100</f>
        <v/>
      </c>
      <c r="D8" s="20">
        <f>D5*D7/100</f>
        <v/>
      </c>
      <c r="E8" s="20">
        <f>E5*E7/100</f>
        <v/>
      </c>
    </row>
    <row r="9">
      <c r="A9" s="9" t="inlineStr">
        <is>
          <t>Operating costs (recurring)</t>
        </is>
      </c>
      <c r="B9" s="19" t="n">
        <v>700</v>
      </c>
      <c r="C9" s="19">
        <f>B9+'Round 1'!H12</f>
        <v/>
      </c>
      <c r="D9" s="19">
        <f>C9+'Round 2'!H12</f>
        <v/>
      </c>
      <c r="E9" s="19">
        <f>D9+'Round 3'!H12</f>
        <v/>
      </c>
    </row>
    <row r="10">
      <c r="A10" s="11" t="inlineStr">
        <is>
          <t>EBITDA</t>
        </is>
      </c>
      <c r="B10" s="20">
        <f>B8-B9</f>
        <v/>
      </c>
      <c r="C10" s="20">
        <f>C8-C9</f>
        <v/>
      </c>
      <c r="D10" s="20">
        <f>D8-D9</f>
        <v/>
      </c>
      <c r="E10" s="20">
        <f>E8-E9</f>
        <v/>
      </c>
    </row>
    <row r="11">
      <c r="A11" s="9" t="inlineStr">
        <is>
          <t>EBITDA margin %</t>
        </is>
      </c>
      <c r="B11" s="23">
        <f>B10/B5</f>
        <v/>
      </c>
      <c r="C11" s="23">
        <f>C10/C5</f>
        <v/>
      </c>
      <c r="D11" s="23">
        <f>D10/D5</f>
        <v/>
      </c>
      <c r="E11" s="23">
        <f>E10/E5</f>
        <v/>
      </c>
    </row>
    <row r="12">
      <c r="A12" s="11" t="inlineStr">
        <is>
          <t>Investment spend (one-time)</t>
        </is>
      </c>
      <c r="B12" s="20" t="n">
        <v>0</v>
      </c>
      <c r="C12" s="20">
        <f>'Round 1'!D12</f>
        <v/>
      </c>
      <c r="D12" s="20">
        <f>'Round 2'!D12</f>
        <v/>
      </c>
      <c r="E12" s="20">
        <f>'Round 3'!D12</f>
        <v/>
      </c>
    </row>
    <row r="13">
      <c r="A13" s="9" t="inlineStr">
        <is>
          <t>Cash balance</t>
        </is>
      </c>
      <c r="B13" s="19" t="n">
        <v>300</v>
      </c>
      <c r="C13" s="19">
        <f>B13+C10-C12</f>
        <v/>
      </c>
      <c r="D13" s="19">
        <f>C13+D10-D12</f>
        <v/>
      </c>
      <c r="E13" s="19">
        <f>D13+E10-E12</f>
        <v/>
      </c>
    </row>
    <row r="14">
      <c r="A14" s="11" t="inlineStr">
        <is>
          <t>Risk index (0-100, lower better)</t>
        </is>
      </c>
      <c r="B14" s="24" t="n">
        <v>30</v>
      </c>
      <c r="C14" s="24">
        <f>MEDIAN(0,B14+'Round 1'!I12,100)</f>
        <v/>
      </c>
      <c r="D14" s="24">
        <f>MEDIAN(0,C14+'Round 2'!I12,100)</f>
        <v/>
      </c>
      <c r="E14" s="24">
        <f>MEDIAN(0,D14+'Round 3'!I12,100)</f>
        <v/>
      </c>
    </row>
    <row r="15">
      <c r="A15" s="9" t="inlineStr">
        <is>
          <t>Recurring revenue mix %</t>
        </is>
      </c>
      <c r="B15" s="22" t="n">
        <v>15</v>
      </c>
      <c r="C15" s="22">
        <f>MEDIAN(0,B15+'Round 1'!K12,90)</f>
        <v/>
      </c>
      <c r="D15" s="22">
        <f>MEDIAN(0,C15+'Round 2'!K12,90)</f>
        <v/>
      </c>
      <c r="E15" s="22">
        <f>MEDIAN(0,D15+'Round 3'!K12,90)</f>
        <v/>
      </c>
    </row>
    <row r="16">
      <c r="A16" s="11" t="inlineStr">
        <is>
          <t>Cumulative multiple adj.</t>
        </is>
      </c>
      <c r="B16" s="25" t="n">
        <v>0</v>
      </c>
      <c r="C16" s="25">
        <f>B16+'Round 1'!J12</f>
        <v/>
      </c>
      <c r="D16" s="25">
        <f>C16+'Round 2'!J12</f>
        <v/>
      </c>
      <c r="E16" s="25">
        <f>D16+'Round 3'!J12</f>
        <v/>
      </c>
    </row>
    <row r="17">
      <c r="A17" s="9" t="inlineStr">
        <is>
          <t>EV multiple (x)</t>
        </is>
      </c>
      <c r="B17" s="26">
        <f>MAX(6.0,MIN(18.0,9.0+B16+B15/100*6.0+B6*100*0.15-(B14-30.0)*0.05))</f>
        <v/>
      </c>
      <c r="C17" s="26">
        <f>MAX(6.0,MIN(18.0,9.0+C16+C15/100*6.0+C6*100*0.15-(C14-30.0)*0.05))</f>
        <v/>
      </c>
      <c r="D17" s="26">
        <f>MAX(6.0,MIN(18.0,9.0+D16+D15/100*6.0+D6*100*0.15-(D14-30.0)*0.05))</f>
        <v/>
      </c>
      <c r="E17" s="26">
        <f>MAX(6.0,MIN(18.0,9.0+E16+E15/100*6.0+E6*100*0.15-(E14-30.0)*0.05))</f>
        <v/>
      </c>
    </row>
    <row r="18">
      <c r="A18" s="27" t="inlineStr">
        <is>
          <t>ENTERPRISE VALUE</t>
        </is>
      </c>
      <c r="B18" s="28">
        <f>B10*B17</f>
        <v/>
      </c>
      <c r="C18" s="28">
        <f>C10*C17</f>
        <v/>
      </c>
      <c r="D18" s="28">
        <f>D10*D17</f>
        <v/>
      </c>
      <c r="E18" s="28">
        <f>E10*E17</f>
        <v/>
      </c>
    </row>
    <row r="19">
      <c r="A19" s="9" t="inlineStr">
        <is>
          <t>EV change vs Start</t>
        </is>
      </c>
      <c r="B19" s="19" t="n">
        <v>0</v>
      </c>
      <c r="C19" s="19">
        <f>C18-B18</f>
        <v/>
      </c>
      <c r="D19" s="19">
        <f>D18-B18</f>
        <v/>
      </c>
      <c r="E19" s="19">
        <f>E18-B18</f>
        <v/>
      </c>
    </row>
    <row r="20">
      <c r="A20" s="27" t="inlineStr">
        <is>
          <t>SCORE (Start = 100)</t>
        </is>
      </c>
      <c r="B20" s="29" t="n">
        <v>100</v>
      </c>
      <c r="C20" s="29">
        <f>C18/$B$18*100-MAX(0,-C13)*0.1</f>
        <v/>
      </c>
      <c r="D20" s="29">
        <f>D18/$B$18*100-MAX(0,-D13)*0.1</f>
        <v/>
      </c>
      <c r="E20" s="29">
        <f>E18/$B$18*100-MAX(0,-E13)*0.1</f>
        <v/>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
  <sheetViews>
    <sheetView showGridLines="0" workbookViewId="0">
      <selection activeCell="A1" sqref="A1"/>
    </sheetView>
  </sheetViews>
  <sheetFormatPr baseColWidth="8" defaultRowHeight="15"/>
  <sheetData>
    <row r="1" ht="30" customHeight="1">
      <c r="A1" s="1" t="inlineStr">
        <is>
          <t>RESULTS</t>
        </is>
      </c>
      <c r="B1" s="2" t="n"/>
      <c r="C1" s="2" t="n"/>
      <c r="D1" s="2" t="n"/>
      <c r="E1" s="2" t="n"/>
      <c r="F1" s="2" t="n"/>
      <c r="G1" s="2" t="n"/>
      <c r="H1" s="2" t="n"/>
    </row>
  </sheetData>
  <mergeCells count="1">
    <mergeCell ref="A1:H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7" customWidth="1" min="1" max="1"/>
    <col width="18" customWidth="1" min="2" max="2"/>
    <col width="17" customWidth="1" min="3" max="3"/>
    <col width="17" customWidth="1" min="4" max="4"/>
    <col width="17" customWidth="1" min="5" max="5"/>
    <col width="17" customWidth="1" min="6" max="6"/>
    <col width="17" customWidth="1" min="7" max="7"/>
  </cols>
  <sheetData>
    <row r="1" ht="30" customHeight="1">
      <c r="A1" s="1" t="inlineStr">
        <is>
          <t>TEAMS DASHBOARD  —  LEADERBOARD (end of Round 3)</t>
        </is>
      </c>
      <c r="B1" s="2" t="n"/>
      <c r="C1" s="2" t="n"/>
      <c r="D1" s="2" t="n"/>
      <c r="E1" s="2" t="n"/>
      <c r="F1" s="2" t="n"/>
      <c r="G1" s="2" t="n"/>
    </row>
    <row r="2">
      <c r="A2" s="30" t="inlineStr">
        <is>
          <t>Row 1 reflects THIS workbook automatically. Facilitator: type each other team's final figures into rows below to rank the room.</t>
        </is>
      </c>
    </row>
    <row r="3">
      <c r="A3" s="13" t="inlineStr">
        <is>
          <t>Rank</t>
        </is>
      </c>
      <c r="B3" s="13" t="inlineStr">
        <is>
          <t>Team</t>
        </is>
      </c>
      <c r="C3" s="13" t="inlineStr">
        <is>
          <t>Enterprise Value $M</t>
        </is>
      </c>
      <c r="D3" s="13" t="inlineStr">
        <is>
          <t>EV vs Start $M</t>
        </is>
      </c>
      <c r="E3" s="13" t="inlineStr">
        <is>
          <t>Recurring mix %</t>
        </is>
      </c>
      <c r="F3" s="13" t="inlineStr">
        <is>
          <t>Risk</t>
        </is>
      </c>
      <c r="G3" s="13" t="inlineStr">
        <is>
          <t>Score</t>
        </is>
      </c>
    </row>
    <row r="4">
      <c r="A4" s="31">
        <f>IF(C4="","",RANK(C4,$C$4:$C$11))</f>
        <v/>
      </c>
      <c r="B4" s="14" t="inlineStr">
        <is>
          <t>Your Team</t>
        </is>
      </c>
      <c r="C4" s="32">
        <f>Engine!E18</f>
        <v/>
      </c>
      <c r="D4" s="32">
        <f>Engine!E19</f>
        <v/>
      </c>
      <c r="E4" s="33">
        <f>Engine!E15</f>
        <v/>
      </c>
      <c r="F4" s="33">
        <f>Engine!E14</f>
        <v/>
      </c>
      <c r="G4" s="33">
        <f>Engine!E20</f>
        <v/>
      </c>
    </row>
    <row r="5">
      <c r="A5" s="34">
        <f>IF(C5="","",RANK(C5,$C$4:$C$11))</f>
        <v/>
      </c>
      <c r="B5" s="9" t="inlineStr">
        <is>
          <t>Team 2</t>
        </is>
      </c>
      <c r="C5" s="35" t="n"/>
      <c r="D5" s="35" t="n"/>
      <c r="E5" s="36" t="n"/>
      <c r="F5" s="36" t="n"/>
      <c r="G5" s="36" t="n"/>
    </row>
    <row r="6">
      <c r="A6" s="31">
        <f>IF(C6="","",RANK(C6,$C$4:$C$11))</f>
        <v/>
      </c>
      <c r="B6" s="11" t="inlineStr">
        <is>
          <t>Team 3</t>
        </is>
      </c>
      <c r="C6" s="32" t="n"/>
      <c r="D6" s="32" t="n"/>
      <c r="E6" s="33" t="n"/>
      <c r="F6" s="33" t="n"/>
      <c r="G6" s="33" t="n"/>
    </row>
    <row r="7">
      <c r="A7" s="34">
        <f>IF(C7="","",RANK(C7,$C$4:$C$11))</f>
        <v/>
      </c>
      <c r="B7" s="9" t="inlineStr">
        <is>
          <t>Team 4</t>
        </is>
      </c>
      <c r="C7" s="35" t="n"/>
      <c r="D7" s="35" t="n"/>
      <c r="E7" s="36" t="n"/>
      <c r="F7" s="36" t="n"/>
      <c r="G7" s="36" t="n"/>
    </row>
    <row r="8">
      <c r="A8" s="31">
        <f>IF(C8="","",RANK(C8,$C$4:$C$11))</f>
        <v/>
      </c>
      <c r="B8" s="11" t="inlineStr">
        <is>
          <t>Team 5</t>
        </is>
      </c>
      <c r="C8" s="32" t="n"/>
      <c r="D8" s="32" t="n"/>
      <c r="E8" s="33" t="n"/>
      <c r="F8" s="33" t="n"/>
      <c r="G8" s="33" t="n"/>
    </row>
    <row r="9">
      <c r="A9" s="34">
        <f>IF(C9="","",RANK(C9,$C$4:$C$11))</f>
        <v/>
      </c>
      <c r="B9" s="9" t="inlineStr">
        <is>
          <t>Team 6</t>
        </is>
      </c>
      <c r="C9" s="35" t="n"/>
      <c r="D9" s="35" t="n"/>
      <c r="E9" s="36" t="n"/>
      <c r="F9" s="36" t="n"/>
      <c r="G9" s="36" t="n"/>
    </row>
    <row r="10">
      <c r="A10" s="31">
        <f>IF(C10="","",RANK(C10,$C$4:$C$11))</f>
        <v/>
      </c>
      <c r="B10" s="11" t="inlineStr">
        <is>
          <t>Team 7</t>
        </is>
      </c>
      <c r="C10" s="32" t="n"/>
      <c r="D10" s="32" t="n"/>
      <c r="E10" s="33" t="n"/>
      <c r="F10" s="33" t="n"/>
      <c r="G10" s="33" t="n"/>
    </row>
    <row r="11">
      <c r="A11" s="34">
        <f>IF(C11="","",RANK(C11,$C$4:$C$11))</f>
        <v/>
      </c>
      <c r="B11" s="9" t="inlineStr">
        <is>
          <t>Team 8</t>
        </is>
      </c>
      <c r="C11" s="35" t="n"/>
      <c r="D11" s="35" t="n"/>
      <c r="E11" s="36" t="n"/>
      <c r="F11" s="36" t="n"/>
      <c r="G11" s="36" t="n"/>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2026-06-15T16:27:49Z</dcterms:created>
  <dcterms:modified xsi:type="dcterms:W3CDTF">2026-06-15T16:27:49Z</dcterms:modified>
</cp:coreProperties>
</file>